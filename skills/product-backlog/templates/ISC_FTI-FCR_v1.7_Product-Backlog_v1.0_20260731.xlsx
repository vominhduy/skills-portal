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Cover" sheetId="1" state="visible" r:id="rId3"/>
    <sheet name="Story Mapping" sheetId="2" state="visible" r:id="rId4"/>
    <sheet name="Product Backlog " sheetId="3" state="visible" r:id="rId5"/>
    <sheet name="Sprint 4" sheetId="4" state="visible" r:id="rId6"/>
    <sheet name="Story point" sheetId="5" state="visible" r:id="rId7"/>
  </sheets>
  <definedNames>
    <definedName function="false" hidden="false" name="abc" vbProcedure="false">#REF!</definedName>
    <definedName function="false" hidden="false" name="ColumnTitle1" vbProcedure="false">#REF!</definedName>
    <definedName function="false" hidden="false" name="parent_task" vbProcedure="false">#REF!</definedName>
    <definedName function="false" hidden="false" name="Project_End" vbProcedure="false">#REF!</definedName>
    <definedName function="false" hidden="false" name="Project_name" vbProcedure="false">#REF!</definedName>
    <definedName function="false" hidden="false" name="Project_Start" vbProcedure="false">#REF!</definedName>
    <definedName function="false" hidden="false" name="RowTitleRegion1..D11" vbProcedure="false">'Product Backlog '!$C$3</definedName>
    <definedName function="false" hidden="false" name="SlicerCache_Table_1_Col_2" vbProcedure="false">#N/A</definedName>
    <definedName function="false" hidden="false" name="SlicerCache_Table_1_Col_3" vbProcedure="false">#N/A</definedName>
    <definedName function="false" hidden="false" name="SlicerCache_Table_1_Col_6" vbProcedure="false">#N/A</definedName>
    <definedName function="false" hidden="false" name="SlicerCache_Table_1_Col_8" vbProcedure="false">#N/A</definedName>
    <definedName function="false" hidden="false" name="Slicer_FEATURE" vbProcedure="false">#REF!</definedName>
    <definedName function="false" hidden="false" name="Slicer_Room_area" vbProcedure="false">#REF!</definedName>
    <definedName function="false" hidden="false" name="Slicer_SRINT_BACKLOG_VERSION" vbProcedure="false">#REF!</definedName>
    <definedName function="false" hidden="false" name="Slicer_Where_purchased" vbProcedure="false">#REF!</definedName>
    <definedName function="false" hidden="false" localSheetId="1" name="ColumnTitle1" vbProcedure="false">#REF!</definedName>
    <definedName function="false" hidden="false" localSheetId="1" name="parent_task" vbProcedure="false">#REF!</definedName>
    <definedName function="false" hidden="false" localSheetId="1" name="Project_End" vbProcedure="false">#REF!</definedName>
    <definedName function="false" hidden="false" localSheetId="1" name="Project_name" vbProcedure="false">#REF!</definedName>
    <definedName function="false" hidden="false" localSheetId="1" name="Project_Start" vbProcedure="false">#REF!</definedName>
    <definedName function="false" hidden="true" localSheetId="2" name="Z_74929984_4EE5_4B62_A6A9_12D97D921318_.wvu.FilterData" vbProcedure="false">'Product Backlog '!$C$21:$L$55</definedName>
    <definedName function="false" hidden="true" localSheetId="2" name="Z_7767D048_2EA0_4505_81B4_DCE4B66027E2_.wvu.FilterData" vbProcedure="false">'Product Backlog '!$C$21:$L$55</definedName>
    <definedName function="false" hidden="true" localSheetId="2" name="Z_82E4546B_6E3B_46C1_8573_D2CE3569A8C5_.wvu.FilterData" vbProcedure="false">'Product Backlog '!$C$21:$L$62</definedName>
    <definedName function="false" hidden="true" localSheetId="2" name="Z_A850257E_826C_400F_8709_DC6F03493FD1_.wvu.FilterData" vbProcedure="false">'Product Backlog '!$C$21:$L$62</definedName>
    <definedName function="false" hidden="true" localSheetId="2" name="Z_B070D9AE_C2B3_4EDE_A20D_61C3DD10C5D5_.wvu.FilterData" vbProcedure="false">'Product Backlog '!$C$21:$L$55</definedName>
    <definedName function="false" hidden="true" localSheetId="2" name="Z_B52C3B91_6D51_4171_85FE_D0DF7C1AE8E0_.wvu.FilterData" vbProcedure="false">'Product Backlog '!$C$21:$L$55</definedName>
    <definedName function="false" hidden="true" localSheetId="2" name="Z_B808C19A_FEC6_427D_96ED_BDE382BD5885_.wvu.FilterData" vbProcedure="false">'Product Backlog '!$C$21:$L$62</definedName>
    <definedName function="false" hidden="true" localSheetId="2" name="Z_FFF913C9_EF17_4571_985E_57C689CCEB4B_.wvu.FilterData" vbProcedure="false">'Product Backlog '!$C$21:$L$55</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<sst xmlns="http://schemas.openxmlformats.org/spreadsheetml/2006/main" count="508" uniqueCount="240">
  <si>
    <t>FTI-FCR</t>
  </si>
  <si>
    <t>PRODUCT BACKLOG</t>
  </si>
  <si>
    <t>Mã hiệu</t>
  </si>
  <si>
    <t>3.0-BM/PM/HDCV/ISC</t>
  </si>
  <si>
    <t>Phiên bản</t>
  </si>
  <si>
    <t>1/0</t>
  </si>
  <si>
    <t>STORY MAPPING</t>
  </si>
  <si>
    <t>[Ví dụ mang tính chất tham khảo, tùy size dự án có thể customize cho phù hợp]</t>
  </si>
  <si>
    <t>PRODUCT BACKLOG - PROJECT</t>
  </si>
  <si>
    <t>PRODUCT/PROJECT NAME</t>
  </si>
  <si>
    <t>A slicer is in cells H3 through I5. To filter inventory list by Photo, select Yes or No from the slicer in this cell.</t>
  </si>
  <si>
    <t>KEY PO</t>
  </si>
  <si>
    <t>QuanNT36</t>
  </si>
  <si>
    <t>DIVISION</t>
  </si>
  <si>
    <t>FTI</t>
  </si>
  <si>
    <t xml:space="preserve">DOMAIN </t>
  </si>
  <si>
    <t>Quản lý quy trình</t>
  </si>
  <si>
    <t>Giới thiệu chung</t>
  </si>
  <si>
    <t>Hoàn thiện và mở rộng hệ thống FCR, hướng tới số hóa quy trình, giảm thao tác thủ công, tăng khả năng xử lý linh hoạt và minh bạch cho các nghiệp vụ hợp đồng, dịch vụ và báo cáo</t>
  </si>
  <si>
    <t>Phạm vi triển khai</t>
  </si>
  <si>
    <t>Bao gồm các nghiệp vụ thanh lý, tạm ngưng, gia hạn, nâng cấp/hạ cấp, chuyển địa điểm, chuyển pháp nhân, xử lý yêu cầu nghiệp vụ, báo cáo và tích hợp liên thông giữa FCR, SM, CM và các tool dịch vụ liên quan</t>
  </si>
  <si>
    <t>PLATFORM</t>
  </si>
  <si>
    <t>Web</t>
  </si>
  <si>
    <t>Link Staging</t>
  </si>
  <si>
    <t>https://ftms-stag.fpt.net/fcr</t>
  </si>
  <si>
    <t>Link Production</t>
  </si>
  <si>
    <t>https://ftms.fpt.net/fcr</t>
  </si>
  <si>
    <t>Roadmap</t>
  </si>
  <si>
    <t>NO.</t>
  </si>
  <si>
    <t>REQUEST DATE</t>
  </si>
  <si>
    <t>EPICS/ITEMS</t>
  </si>
  <si>
    <t>MODULE/FEATURE</t>
  </si>
  <si>
    <t>USER STORY/DESCRIPTION</t>
  </si>
  <si>
    <t>PRIORITY</t>
  </si>
  <si>
    <t>SPRINT BACKLOG/VERSION</t>
  </si>
  <si>
    <t>STATUS</t>
  </si>
  <si>
    <t>PO</t>
  </si>
  <si>
    <t>RELEASE DATE</t>
  </si>
  <si>
    <t>NOTES</t>
  </si>
  <si>
    <t>Xử lý yêu cầu</t>
  </si>
  <si>
    <t>Thanh lý</t>
  </si>
  <si>
    <t>Cho phép thanh lý từng gói dịch vụ trong cùng một phụ lục, luồng xử lý tương tự thanh lý phụ lục.</t>
  </si>
  <si>
    <t>2-Medium</t>
  </si>
  <si>
    <t>Sprint 3</t>
  </si>
  <si>
    <t>Pending</t>
  </si>
  <si>
    <t>ThinhDD13</t>
  </si>
  <si>
    <t>SM 2.0 thực hiện xong sẽ tích hợp</t>
  </si>
  <si>
    <t>Báo cáo</t>
  </si>
  <si>
    <t>Báo cáo yêu cầu</t>
  </si>
  <si>
    <t>Hệ thống cung cấp báo cáo thống kê khảo sát/triển khai/thanh lý/nâng-hạ cấp/chuyển địa điểm theo thời gian, TTKD và nhân viên.</t>
  </si>
  <si>
    <t>Done</t>
  </si>
  <si>
    <t>ThaoTP</t>
  </si>
  <si>
    <t>File export báo cáo hiển thị thêm trạng thái phiếu YC (Hủy, Hoàn tất, Đang xử lý…).</t>
  </si>
  <si>
    <t>NgocTT - CS</t>
  </si>
  <si>
    <t>Chuyển địa điểm</t>
  </si>
  <si>
    <t>Thực hiện số hóa CCD dịch vụ VOICE.</t>
  </si>
  <si>
    <t>3-High</t>
  </si>
  <si>
    <t>Sprint 4</t>
  </si>
  <si>
    <t>Quannt36</t>
  </si>
  <si>
    <t>Đợi release Ivoice</t>
  </si>
  <si>
    <t>Chuyển pháp nhân</t>
  </si>
  <si>
    <t>CPN hỗ trợ change location kèm đổi pháp nhân, cho phép xuất HĐ theo vùng miền khác.</t>
  </si>
  <si>
    <t>Sprint 1</t>
  </si>
  <si>
    <t>Báo cáo LL</t>
  </si>
  <si>
    <t>Xuất báo cáo nâng/hạ cấp với đầy đủ thông tin KH, HĐ, PL, TTKD, dịch vụ, tốc độ, địa điểm, HĐ con.</t>
  </si>
  <si>
    <t>DuongLT2</t>
  </si>
  <si>
    <t>Màn hình chi tiết phiếu hiển thị MKH nếu có profile, nếu không hiển thị N/A.</t>
  </si>
  <si>
    <t>MiNH2</t>
  </si>
  <si>
    <t>Cho phép xem chi tiết dịch vụ từ các tool nghiệp vụ ngay trong chi tiết phiếu FCR.</t>
  </si>
  <si>
    <t>Thực hiện yêu cầu</t>
  </si>
  <si>
    <t>Bổ sung CC email và gửi mail theo các mốc xử lý của phiếu.</t>
  </si>
  <si>
    <t>TienLTT3</t>
  </si>
  <si>
    <t>Cho phép CPN sang số HĐ VOICE đã tồn tại để tránh phải thanh lý - triển khai lại gây downtime.</t>
  </si>
  <si>
    <t>HangBT13</t>
  </si>
  <si>
    <t>Thanh lý offnet</t>
  </si>
  <si>
    <t>Số hóa thanh lý kênh truyền offnet toàn trình; nếu không toàn trình thì tạo phiếu BMO.</t>
  </si>
  <si>
    <t>Đợi release LL</t>
  </si>
  <si>
    <t>Nâng cấp/Hạ Cấp</t>
  </si>
  <si>
    <t>Hỗ trợ nâng/hạ cấp dịch vụ HigioCloud.</t>
  </si>
  <si>
    <t>Chaulm9</t>
  </si>
  <si>
    <t>Đợi release SM v2.0</t>
  </si>
  <si>
    <t>Xử lý yêu cầu nghiệp vụ</t>
  </si>
  <si>
    <t>Phân biệt nâng/hạ cấp tạm thời và chính thức để áp dụng luồng duyệt phù hợp, kèm nhắc nợ hồ sơ.</t>
  </si>
  <si>
    <t>Thay đổi thông tin dịch vụ</t>
  </si>
  <si>
    <t>Chuyển chức năng thay đổi thông tin dịch vụ từ SM sang FCR.</t>
  </si>
  <si>
    <t>1-Low</t>
  </si>
  <si>
    <t>Quản lý tài liệu đính kèm</t>
  </si>
  <si>
    <t>Đính kèm tài liệu</t>
  </si>
  <si>
    <t>Đính kèm tài liệu ở các bước duyệt &amp; đồng bộ CM.</t>
  </si>
  <si>
    <t>Sprint 2</t>
  </si>
  <si>
    <t>Tạo yêu cầu</t>
  </si>
  <si>
    <t>Người tạo phiếu được nhập ngày hiệu lực, điều khoản đối soát, chu kỳ thanh toán, và hình thức thanh toán (trả trước/trả sau).</t>
  </si>
  <si>
    <t>TrangLTH52</t>
  </si>
  <si>
    <t>Next version</t>
  </si>
  <si>
    <t>Cho phép tạo/duyệt/xử lý YCTL cho HĐ/PL đã cấp số nhưng chưa triển khai.</t>
  </si>
  <si>
    <t>Thanh lý Ivoice</t>
  </si>
  <si>
    <t>Không chặn duyệt YCTL của CSM khi HĐ còn phiếu tồn.</t>
  </si>
  <si>
    <t>Gia hạn IDC</t>
  </si>
  <si>
    <t>Điều chỉnh rule: không chặn mở gông, cho phép tồn NC/HC/CPN vẫn tạo gia hạn.</t>
  </si>
  <si>
    <t>Tìm kiếm</t>
  </si>
  <si>
    <t>Danh sách yêu cầu</t>
  </si>
  <si>
    <t>Cho phép search và truy cập phiếu liên phòng ban, không giới hạn theo account đã duyệt.</t>
  </si>
  <si>
    <t>Cancel</t>
  </si>
  <si>
    <t>Vyntt30</t>
  </si>
  <si>
    <t>Tìm kiếm yêu cầu</t>
  </si>
  <si>
    <t>Tại màn hình chính FCR, search phiếu bằng kính lúp + Enter và điều hướng trực tiếp vào chi tiết phiếu.</t>
  </si>
  <si>
    <t>Cải tiến SLA</t>
  </si>
  <si>
    <t>SLA - Pending AF</t>
  </si>
  <si>
    <t>Pending SLA tại bước AF Công nợ, không tính SLA khi pending.</t>
  </si>
  <si>
    <t>SLA - Giờ hành chính, ngày lễ</t>
  </si>
  <si>
    <t>Phiếu tạo sau 17h30 tính SLA từ ngày làm việc kế tiếp, ngày lễ</t>
  </si>
  <si>
    <t>Hệ thống hỗ trợ ưu tiên xử lý khi có nhiều phiếu NC và HC.</t>
  </si>
  <si>
    <t>MinhNTT7</t>
  </si>
  <si>
    <t>Điều chỉnh backdate các phiếu yêu cầu</t>
  </si>
  <si>
    <t>Phân quyền &amp; Quy trình</t>
  </si>
  <si>
    <t>Cài đặt</t>
  </si>
  <si>
    <t>Role QA publish quy trình không cần qua bước duyệt.</t>
  </si>
  <si>
    <t>Cho phép tiếp tục thực hiện phiếu tại bước từ chối thay vì đi lại luồng từ đầu</t>
  </si>
  <si>
    <t>DatPTQ</t>
  </si>
  <si>
    <t>Cải tiến tạo/chỉnh sửa phiếu</t>
  </si>
  <si>
    <t>Backdate phiếu</t>
  </si>
  <si>
    <t>Cho phép backdate phiếu CPN/NCHC/TLTN/GH khi tạo/chỉnh sửa.</t>
  </si>
  <si>
    <t>CPN - Load loại HĐ</t>
  </si>
  <si>
    <t>Tạo phiếu CPN số mới tự động load loại HĐ theo HĐ cũ.</t>
  </si>
  <si>
    <t>Quản lý mã triển khai</t>
  </si>
  <si>
    <t>Đồng bộ dữ liệu</t>
  </si>
  <si>
    <t>Thông tin MTK trên CM hiển thị thêm cột "Loại dịch vụ", trạng thái base theo LL.</t>
  </si>
  <si>
    <t>AnhNTC2</t>
  </si>
  <si>
    <t>Thực hiện sau CM 3.0</t>
  </si>
  <si>
    <t>Trạng thái mới</t>
  </si>
  <si>
    <t>LL bổ sung trạng thái triển khai "Triển khai lần đầu không thành công" và FCR không cho phép tạo phiếu với trạng thái này.</t>
  </si>
  <si>
    <t>Email</t>
  </si>
  <si>
    <t>Gửi mail thông báo</t>
  </si>
  <si>
    <t>Bổ sung vùng miền HĐ, phiếu thay đổi thông tin có phân biệt tạm thời hay chính thức.</t>
  </si>
  <si>
    <t>NamDP</t>
  </si>
  <si>
    <t>Thanh lý ivoice</t>
  </si>
  <si>
    <t>Bổ sung cảnh báo phát sinh cước cho phiếu tạo sang ngày 20.</t>
  </si>
  <si>
    <t>Gộp quy trình NC, HC thành Thay đổi thông tin dịch vụ.</t>
  </si>
  <si>
    <t>Đối với CSKH, bổ sung thêm bước SCS confirm (thanh lý với NCC).</t>
  </si>
  <si>
    <t>Thực hiện trong version Ivoice</t>
  </si>
  <si>
    <t>Nâng cấp - Linh hoạt NIX/GIA và Bảng thông số dịch vụ</t>
  </si>
  <si>
    <t>Thay đổi thông tin</t>
  </si>
  <si>
    <t>Cải tiến luồng thay đổi: bỏ ràng buộc nhập đồng thời NIX/GIA, chỉ validate BW NIX khi nâng, hiển thị bảng thông số động theo loại và xử lý cảnh báo MTK</t>
  </si>
  <si>
    <t>VyPTL</t>
  </si>
  <si>
    <t>Xử lý yêu cầu - CPN</t>
  </si>
  <si>
    <t>Chuyển Pháp Nhân</t>
  </si>
  <si>
    <t>Mở rộng CPN hỗ trợ hợp đồng Tạm ngưng (nguyên nhân không phải cước) và CPN toàn phần (giữ/đổi số HĐ, auto resume khi gia hạn)</t>
  </si>
  <si>
    <t>Hiển thị đầy đủ thông tin hợp đồng trong CPN, đồng bộ CM, hỗ trợ hyperlink và filter loại yêu cầu/dịch vụ</t>
  </si>
  <si>
    <t>Nâng giới hạn dung lượng file đính kèm trong yêu cầu CPN từ 5MB lên 25MB</t>
  </si>
  <si>
    <t>AnhNTC</t>
  </si>
  <si>
    <t>Báo cáo theo loại yêu cầu</t>
  </si>
  <si>
    <t>Thêm filter động theo loại yêu cầu/dịch vụ, default ngày tạo phiếu, hiển thị NA cho dịch vụ kênh</t>
  </si>
  <si>
    <t>Thay đổi thông tin - Ngày đề nghị</t>
  </si>
  <si>
    <t>Load mặc định trường Ngày đề nghị, cập nhật validation và database schema tương ứng</t>
  </si>
  <si>
    <t>SPRINT BACKLOG #4</t>
  </si>
  <si>
    <t>SPRINT GOAL</t>
  </si>
  <si>
    <t>Hoàn thiện nghiệp vụ thay đổi thông tin LL (bỏ ràng buộc NIX/GIA), mở rộng CPN hỗ trợ hợp đồng Tạm ngưng, cải tiến Báo cáo SLA có filter động, bỏ trường Ngày đề nghị trong Thay đổi thông tin, và nâng giới hạn đính kèm file.</t>
  </si>
  <si>
    <t>STORY POINT OF THIS SPRINT</t>
  </si>
  <si>
    <t>MANDAY</t>
  </si>
  <si>
    <t>TIME BOX</t>
  </si>
  <si>
    <t xml:space="preserve">1. Sprint Timeline: 08/06/2026 – 22/07/2026
2. Sprint Planning: 08/06/2026
3. Daily Standup: Mỗi ngày 09:00 – 09:15
4. Dev Complete: 01/07/2026
5. Staging Deploy: 01/07/2026 - trước khi QC bắt đầu
6. QC Testing: 02/07/2026 – 09/07/2026
7. QC Recheck Done: 09/07/2026
8. UAT: 09/07/2026 – 20/07/2026
9. CSOC Pentest: 08/07/2026 – 16/07/2026
10. Production Deploy: 20/07/2026
11. Sprint Review: 20/07/2026
12. Retrospective: 20/07/2026
13. Pilot End / Sprint Close: 22/07/2026</t>
  </si>
  <si>
    <t xml:space="preserve">User
Story
ID</t>
  </si>
  <si>
    <t>MODULE/ FEATURE</t>
  </si>
  <si>
    <t xml:space="preserve">STORY
POINT</t>
  </si>
  <si>
    <t xml:space="preserve">ESTIMATED
EFFORT
(Story
Manday)</t>
  </si>
  <si>
    <t>Priority</t>
  </si>
  <si>
    <t>Complexity</t>
  </si>
  <si>
    <t>TASK</t>
  </si>
  <si>
    <t>PIC</t>
  </si>
  <si>
    <t xml:space="preserve">ESTIMATED
EFFORT
(Task
Manday)</t>
  </si>
  <si>
    <t>START DATE</t>
  </si>
  <si>
    <t>DUE DATE</t>
  </si>
  <si>
    <t xml:space="preserve">WORKING
DAY</t>
  </si>
  <si>
    <t xml:space="preserve">ESTIMATED
EFFORT
(HOUR)</t>
  </si>
  <si>
    <t>TASK COMPLEXITY</t>
  </si>
  <si>
    <t>Type OF WORK</t>
  </si>
  <si>
    <t>TASK PROCESS</t>
  </si>
  <si>
    <t>TASK PRIORITY</t>
  </si>
  <si>
    <t>EPIC-0. Init Sprint - Kick-off, Analysis &amp; Setup</t>
  </si>
  <si>
    <t>US_0.1</t>
  </si>
  <si>
    <t>Project Management</t>
  </si>
  <si>
    <t>Initiation &amp; Risk Management - Kick-off Sprint, lập kế hoạch và theo dõi rủi ro</t>
  </si>
  <si>
    <t>Sprint 4 Kick-off &amp; Planning - Risk tracking</t>
  </si>
  <si>
    <t>DuyVM4</t>
  </si>
  <si>
    <t>Not Started</t>
  </si>
  <si>
    <t>Do</t>
  </si>
  <si>
    <t>Medium</t>
  </si>
  <si>
    <t>Phân tích toàn bộ User Stories, thiết kế wireframe và viết URD</t>
  </si>
  <si>
    <t>OanhNTK35</t>
  </si>
  <si>
    <t>BA phân tích toàn bộ User Stories Sprint 4, thiết kế wireframe và viết URD trước khi DEV bắt đầu coding</t>
  </si>
  <si>
    <t>Requirement &amp; Design</t>
  </si>
  <si>
    <t>US_0.2</t>
  </si>
  <si>
    <t>Development Setup</t>
  </si>
  <si>
    <t>Setup môi trường, review hệ thống hiện tại, phân tích technical design và refactor codebase trước khi implement</t>
  </si>
  <si>
    <t>Setup local env, đọc spec, align với BA trước khi coding</t>
  </si>
  <si>
    <t>NguyenHVN2</t>
  </si>
  <si>
    <t>Setup môi trường dev &amp; đọc spec Sprint 4</t>
  </si>
  <si>
    <t>Review</t>
  </si>
  <si>
    <t>Review hệ thống FCR - đọc code &amp; hiểu luồng BW hiện tại</t>
  </si>
  <si>
    <t>Rà soát codebase module Nâng cấp BW, ghi nhận technical debt và chuẩn bị cho triển khai Sprint 4</t>
  </si>
  <si>
    <t>Setup local env, đọc spec CPN, align với BA</t>
  </si>
  <si>
    <t>ThangDQ16</t>
  </si>
  <si>
    <t>Review hệ thống FCR - đọc code &amp; hiểu luồng CPN hiện tại</t>
  </si>
  <si>
    <t>Review code base module CPN, ghi nhận state machine HĐ, API CM hiện tại</t>
  </si>
  <si>
    <t>Phân tích technical design - Nâng cấp BW NIX/GIA</t>
  </si>
  <si>
    <t>Nghiên cứu luồng nghiệp vụ CPN &amp; phân tích DB schema</t>
  </si>
  <si>
    <t>Refactor module Nâng cấp BW - Clean code &amp; chuẩn bị base Sprint 4 - Tuần 1</t>
  </si>
  <si>
    <t>Fix/Rework</t>
  </si>
  <si>
    <t>Coding</t>
  </si>
  <si>
    <t>Refactor module CPN - Clean code &amp; chuẩn bị base Sprint 4 - Tuần 1</t>
  </si>
  <si>
    <t>EPIC-1. Nâng cấp - Linh hoạt NIX/GIA và Bảng thông số dịch vụ</t>
  </si>
  <si>
    <t>US_1.1</t>
  </si>
  <si>
    <t>Cải tiến luồng thay đổi: bỏ ràng buộc nhập đồng thời NIX/GIA, chỉ validate BW NIX khi nâng, hiển thị bảng thông số động theo loại và xử lý cảnh báo MTK.</t>
  </si>
  <si>
    <t>Implement logic validate linh hoạt NIX/GIA - bỏ ràng buộc bắt buộc nhập cả 2, chỉ validate BW NIX khi thực sự nâng NIX</t>
  </si>
  <si>
    <t>Tham chiếu ví dụ DNL00038: BW 60-100 chỉ nâng GIA, không bắt buộc NIX</t>
  </si>
  <si>
    <t>High</t>
  </si>
  <si>
    <t>Implement hiển thị Bảng thông số dịch vụ động theo loại (GIA only, NIX only, Peering, GIA-NIX kết hợp)</t>
  </si>
  <si>
    <t>5 loại cấu hình: GIA only, NIX only, Peering, GIA-NIX, kết hợp khác</t>
  </si>
  <si>
    <t>Implement cảnh báo và form xử lý trường hợp Nâng cấp có MTK (không bắt buộc nhập theo hướng dẫn riêng)</t>
  </si>
  <si>
    <t>Hiển thị popup hướng dẫn khi MTK không được nhập; không block luồng</t>
  </si>
  <si>
    <t>US_1.2</t>
  </si>
  <si>
    <t>Unit test cho toàn bộ logic validate NIX/GIA linh hoạt và bảng thông số dịch vụ, đảm bảo không xảy ra regression với các luồng.</t>
  </si>
  <si>
    <t>Viết unit test cho logic validate linh hoạt NIX/GIA và bảng thông số dịch vụ</t>
  </si>
  <si>
    <t>Coverage tối thiểu 80%; bao gồm edge case BW NIX = BW hiện tại</t>
  </si>
  <si>
    <t>Unit Test</t>
  </si>
  <si>
    <t>STORY POINT GUIDELINE</t>
  </si>
  <si>
    <t>Công thức Story Point</t>
  </si>
  <si>
    <t>Trung bình cộng 3 cột: Tổng Manday của User Story, Priority*2, Complexity*2</t>
  </si>
  <si>
    <t>Tổng Manday của User Story</t>
  </si>
  <si>
    <t>Tổng manday của tất cả các task trong User Story đó</t>
  </si>
  <si>
    <t>Mức độ cấp thiết của User Story</t>
  </si>
  <si>
    <t>4-Critical</t>
  </si>
  <si>
    <t>Các yêu cầu chen ngang cần thực hiện gấp (theo chỉ đạo từ BĐH, BGĐ…)</t>
  </si>
  <si>
    <t>Must have - chức năng quan trọng và nhất định phải có trong Sprint</t>
  </si>
  <si>
    <t>Should have - quan trọng nhưng không gấp, có thể khó chịu nếu loại bỏ nhưng giải pháp vẫn còn khả thi</t>
  </si>
  <si>
    <t>Could have - muốn hoặc kỳ vọng có nhưng không quan trọng</t>
  </si>
  <si>
    <t>Mức độ phức tạp của User Story</t>
  </si>
  <si>
    <t xml:space="preserve">- Liên đới nhiều hơn 3 Function, Story khác 
- Cần dùng đến một công nghệ mới, chưa từng sử dụng qua
- Logic, tính toán phức tạp</t>
  </si>
  <si>
    <t xml:space="preserve">- Liên đới từ 3 Function, Story trở xuống
- Logic, tính toán tương đối phức tạp</t>
  </si>
  <si>
    <t xml:space="preserve">- User Story độc lập, không liên quan đến Story khác
- Nghiệp vụ đơn giản</t>
  </si>
</sst>
</file>

<file path=xl/styles.xml><?xml version="1.0" encoding="utf-8"?>
<styleSheet xmlns="http://schemas.openxmlformats.org/spreadsheetml/2006/main">
  <numFmts count="8">
    <numFmt numFmtId="164" formatCode="General"/>
    <numFmt numFmtId="165" formatCode="@"/>
    <numFmt numFmtId="166" formatCode=";;;"/>
    <numFmt numFmtId="167" formatCode="[$-409]d/mmm/yy"/>
    <numFmt numFmtId="168" formatCode="m/d/yyyy"/>
    <numFmt numFmtId="169" formatCode="0.0"/>
    <numFmt numFmtId="170" formatCode="General"/>
    <numFmt numFmtId="171" formatCode="ddd&quot;, &quot;mmm\ d&quot;, &quot;yy"/>
  </numFmts>
  <fonts count="47">
    <font>
      <sz val="11"/>
      <color theme="1"/>
      <name val="Calibri"/>
      <family val="0"/>
      <charset val="1"/>
    </font>
    <font>
      <sz val="10"/>
      <name val="Arial"/>
      <family val="0"/>
    </font>
    <font>
      <sz val="10"/>
      <name val="Arial"/>
      <family val="0"/>
    </font>
    <font>
      <sz val="10"/>
      <name val="Arial"/>
      <family val="0"/>
    </font>
    <font>
      <sz val="10"/>
      <color theme="1"/>
      <name val="Times New Roman"/>
      <family val="0"/>
      <charset val="1"/>
    </font>
    <font>
      <sz val="11"/>
      <color theme="1"/>
      <name val="Times New Roman"/>
      <family val="0"/>
      <charset val="1"/>
    </font>
    <font>
      <b val="true"/>
      <sz val="12"/>
      <color theme="1"/>
      <name val="Times New Roman"/>
      <family val="0"/>
      <charset val="1"/>
    </font>
    <font>
      <i val="true"/>
      <sz val="14"/>
      <color rgb="FF800000"/>
      <name val="Times New Roman"/>
      <family val="0"/>
      <charset val="1"/>
    </font>
    <font>
      <b val="true"/>
      <sz val="36"/>
      <color rgb="FFED7D31"/>
      <name val="Arial"/>
      <family val="0"/>
      <charset val="1"/>
    </font>
    <font>
      <b val="true"/>
      <sz val="36"/>
      <color theme="5"/>
      <name val="Arial"/>
      <family val="0"/>
      <charset val="1"/>
    </font>
    <font>
      <b val="true"/>
      <sz val="36"/>
      <color theme="8"/>
      <name val="Arial"/>
      <family val="0"/>
      <charset val="1"/>
    </font>
    <font>
      <sz val="14"/>
      <color theme="1"/>
      <name val="Arial"/>
      <family val="0"/>
      <charset val="1"/>
    </font>
    <font>
      <sz val="11"/>
      <color theme="1"/>
      <name val="Arial"/>
      <family val="0"/>
      <charset val="1"/>
    </font>
    <font>
      <b val="true"/>
      <sz val="22"/>
      <color rgb="FFC55A11"/>
      <name val="Calibri"/>
      <family val="0"/>
      <charset val="1"/>
    </font>
    <font>
      <i val="true"/>
      <sz val="11"/>
      <color theme="5"/>
      <name val="Calibri"/>
      <family val="0"/>
      <charset val="1"/>
    </font>
    <font>
      <b val="true"/>
      <sz val="24"/>
      <color theme="8"/>
      <name val="Arial"/>
      <family val="0"/>
      <charset val="1"/>
    </font>
    <font>
      <sz val="24"/>
      <color rgb="FF798EA9"/>
      <name val="Arial"/>
      <family val="0"/>
      <charset val="1"/>
    </font>
    <font>
      <sz val="11"/>
      <color rgb="FF3F3F3F"/>
      <name val="Arial"/>
      <family val="0"/>
      <charset val="1"/>
    </font>
    <font>
      <sz val="11"/>
      <color theme="0"/>
      <name val="Arial"/>
      <family val="0"/>
      <charset val="1"/>
    </font>
    <font>
      <sz val="11"/>
      <color rgb="FF0C0C0C"/>
      <name val="Arial"/>
      <family val="0"/>
      <charset val="1"/>
    </font>
    <font>
      <i val="true"/>
      <sz val="11"/>
      <color rgb="FFC55A11"/>
      <name val="Arial"/>
      <family val="0"/>
      <charset val="1"/>
    </font>
    <font>
      <u val="single"/>
      <sz val="11"/>
      <color theme="10"/>
      <name val="Calibri"/>
      <family val="0"/>
      <charset val="1"/>
    </font>
    <font>
      <b val="true"/>
      <sz val="14"/>
      <color rgb="FFC55A11"/>
      <name val="Arial"/>
      <family val="0"/>
      <charset val="1"/>
    </font>
    <font>
      <sz val="10"/>
      <color theme="1"/>
      <name val="Arial"/>
      <family val="0"/>
      <charset val="1"/>
    </font>
    <font>
      <b val="true"/>
      <sz val="10"/>
      <color rgb="FFFFFFFF"/>
      <name val="Arial"/>
      <family val="0"/>
      <charset val="1"/>
    </font>
    <font>
      <sz val="10"/>
      <color rgb="FFFFFFFF"/>
      <name val="Arial"/>
      <family val="0"/>
      <charset val="1"/>
    </font>
    <font>
      <sz val="10"/>
      <color rgb="FF3F3F3F"/>
      <name val="Arial"/>
      <family val="0"/>
      <charset val="1"/>
    </font>
    <font>
      <sz val="10"/>
      <color rgb="FF000000"/>
      <name val="Arial"/>
      <family val="0"/>
      <charset val="1"/>
    </font>
    <font>
      <sz val="11"/>
      <name val="Times New Roman"/>
      <family val="1"/>
    </font>
    <font>
      <b val="true"/>
      <sz val="28"/>
      <color rgb="FFED7D31"/>
      <name val="Calibri"/>
      <family val="0"/>
      <charset val="1"/>
    </font>
    <font>
      <b val="true"/>
      <sz val="11"/>
      <color rgb="FFFFFFFF"/>
      <name val="Calibri"/>
      <family val="0"/>
      <charset val="1"/>
    </font>
    <font>
      <sz val="11"/>
      <color rgb="FFC65911"/>
      <name val="Calibri"/>
      <family val="0"/>
      <charset val="1"/>
    </font>
    <font>
      <b val="true"/>
      <sz val="12"/>
      <color rgb="FFFFFFFF"/>
      <name val="Calibri"/>
      <family val="0"/>
      <charset val="1"/>
    </font>
    <font>
      <b val="true"/>
      <sz val="26"/>
      <color rgb="FFED7D31"/>
      <name val="Calibri"/>
      <family val="0"/>
      <charset val="1"/>
    </font>
    <font>
      <b val="true"/>
      <sz val="11"/>
      <color theme="1"/>
      <name val="Calibri"/>
      <family val="0"/>
      <charset val="1"/>
    </font>
    <font>
      <b val="true"/>
      <sz val="11"/>
      <color rgb="FF000000"/>
      <name val="Calibri"/>
      <family val="0"/>
      <charset val="1"/>
    </font>
    <font>
      <b val="true"/>
      <sz val="11"/>
      <color rgb="FFFFD965"/>
      <name val="Calibri"/>
      <family val="0"/>
      <charset val="1"/>
    </font>
    <font>
      <b val="true"/>
      <sz val="11"/>
      <color theme="1"/>
      <name val="Cambria"/>
      <family val="0"/>
      <charset val="1"/>
    </font>
    <font>
      <sz val="11"/>
      <color rgb="FF9C0006"/>
      <name val="Calibri"/>
      <family val="0"/>
      <charset val="1"/>
    </font>
    <font>
      <sz val="11"/>
      <color rgb="FF9C5700"/>
      <name val="Calibri"/>
      <family val="0"/>
      <charset val="1"/>
    </font>
    <font>
      <sz val="11"/>
      <color rgb="FF1F497D"/>
      <name val="Calibri"/>
      <family val="0"/>
      <charset val="1"/>
    </font>
    <font>
      <b val="true"/>
      <sz val="13"/>
      <color theme="1"/>
      <name val="Calibri"/>
      <family val="0"/>
      <charset val="1"/>
    </font>
    <font>
      <b val="true"/>
      <sz val="11"/>
      <color rgb="FFC65911"/>
      <name val="Calibri"/>
      <family val="0"/>
      <charset val="1"/>
    </font>
    <font>
      <sz val="11"/>
      <color rgb="FF000000"/>
      <name val="Calibri"/>
      <family val="0"/>
      <charset val="1"/>
    </font>
    <font>
      <b val="true"/>
      <sz val="12"/>
      <color theme="1"/>
      <name val="Calibri"/>
      <family val="0"/>
      <charset val="1"/>
    </font>
    <font>
      <sz val="11"/>
      <color rgb="FFFFFFFF"/>
      <name val="Calibri"/>
      <family val="0"/>
      <charset val="1"/>
    </font>
    <font>
      <sz val="11"/>
      <color rgb="FF9C6500"/>
      <name val="Calibri"/>
      <family val="0"/>
      <charset val="1"/>
    </font>
  </fonts>
  <fills count="18">
    <fill>
      <patternFill patternType="none"/>
    </fill>
    <fill>
      <patternFill patternType="gray125"/>
    </fill>
    <fill>
      <patternFill patternType="solid">
        <fgColor theme="0"/>
        <bgColor rgb="FFFFF2CC"/>
      </patternFill>
    </fill>
    <fill>
      <patternFill patternType="solid">
        <fgColor rgb="FFBDD6EE"/>
        <bgColor rgb="FFD6DCE4"/>
      </patternFill>
    </fill>
    <fill>
      <patternFill patternType="solid">
        <fgColor rgb="FFE7E6E6"/>
        <bgColor rgb="FFDEEAF6"/>
      </patternFill>
    </fill>
    <fill>
      <patternFill patternType="solid">
        <fgColor rgb="FFFBE4D5"/>
        <bgColor rgb="FFFFF2CC"/>
      </patternFill>
    </fill>
    <fill>
      <patternFill patternType="solid">
        <fgColor rgb="FF203764"/>
        <bgColor rgb="FF1F497D"/>
      </patternFill>
    </fill>
    <fill>
      <patternFill patternType="solid">
        <fgColor rgb="FFDEEAF6"/>
        <bgColor rgb="FFDDEBF7"/>
      </patternFill>
    </fill>
    <fill>
      <patternFill patternType="solid">
        <fgColor rgb="FF305496"/>
        <bgColor rgb="FF1E4E79"/>
      </patternFill>
    </fill>
    <fill>
      <patternFill patternType="solid">
        <fgColor rgb="FFD6DCE4"/>
        <bgColor rgb="FFE7E6E6"/>
      </patternFill>
    </fill>
    <fill>
      <patternFill patternType="solid">
        <fgColor rgb="FFC6EFCE"/>
        <bgColor rgb="FFD6DCE4"/>
      </patternFill>
    </fill>
    <fill>
      <patternFill patternType="solid">
        <fgColor rgb="FF002060"/>
        <bgColor rgb="FF203764"/>
      </patternFill>
    </fill>
    <fill>
      <patternFill patternType="solid">
        <fgColor rgb="FFFFE598"/>
        <bgColor rgb="FFFFEB9C"/>
      </patternFill>
    </fill>
    <fill>
      <patternFill patternType="solid">
        <fgColor rgb="FFFFC7CE"/>
        <bgColor rgb="FFFBE4D5"/>
      </patternFill>
    </fill>
    <fill>
      <patternFill patternType="solid">
        <fgColor rgb="FFFFF2CC"/>
        <bgColor rgb="FFFBE4D5"/>
      </patternFill>
    </fill>
    <fill>
      <patternFill patternType="solid">
        <fgColor rgb="FFDDEBF7"/>
        <bgColor rgb="FFDEEAF6"/>
      </patternFill>
    </fill>
    <fill>
      <patternFill patternType="solid">
        <fgColor rgb="FFFF0000"/>
        <bgColor rgb="FF9C0006"/>
      </patternFill>
    </fill>
    <fill>
      <patternFill patternType="solid">
        <fgColor rgb="FFFFEB9C"/>
        <bgColor rgb="FFFFE598"/>
      </patternFill>
    </fill>
  </fills>
  <borders count="26">
    <border diagonalUp="false" diagonalDown="false">
      <left/>
      <right/>
      <top/>
      <bottom/>
      <diagonal/>
    </border>
    <border diagonalUp="false" diagonalDown="false">
      <left style="thin">
        <color rgb="FF7F7F7F"/>
      </left>
      <right/>
      <top style="thin">
        <color rgb="FF7F7F7F"/>
      </top>
      <bottom/>
      <diagonal/>
    </border>
    <border diagonalUp="false" diagonalDown="false">
      <left/>
      <right/>
      <top style="thin">
        <color rgb="FF7F7F7F"/>
      </top>
      <bottom/>
      <diagonal/>
    </border>
    <border diagonalUp="false" diagonalDown="false">
      <left/>
      <right style="thin">
        <color rgb="FF7F7F7F"/>
      </right>
      <top style="thin">
        <color rgb="FF7F7F7F"/>
      </top>
      <bottom/>
      <diagonal/>
    </border>
    <border diagonalUp="false" diagonalDown="false">
      <left style="thin">
        <color rgb="FF7F7F7F"/>
      </left>
      <right/>
      <top/>
      <bottom/>
      <diagonal/>
    </border>
    <border diagonalUp="false" diagonalDown="false">
      <left/>
      <right style="thin">
        <color rgb="FF7F7F7F"/>
      </right>
      <top/>
      <bottom/>
      <diagonal/>
    </border>
    <border diagonalUp="false" diagonalDown="false">
      <left style="thin">
        <color rgb="FF7F7F7F"/>
      </left>
      <right style="thin">
        <color rgb="FF7F7F7F"/>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7F7F7F"/>
      </left>
      <right/>
      <top/>
      <bottom style="thin">
        <color rgb="FF7F7F7F"/>
      </bottom>
      <diagonal/>
    </border>
    <border diagonalUp="false" diagonalDown="false">
      <left/>
      <right/>
      <top/>
      <bottom style="thin">
        <color rgb="FF7F7F7F"/>
      </bottom>
      <diagonal/>
    </border>
    <border diagonalUp="false" diagonalDown="false">
      <left/>
      <right style="thin">
        <color rgb="FF7F7F7F"/>
      </right>
      <top/>
      <bottom style="thin">
        <color rgb="FF7F7F7F"/>
      </bottom>
      <diagonal/>
    </border>
    <border diagonalUp="false" diagonalDown="false">
      <left/>
      <right/>
      <top/>
      <bottom style="medium">
        <color rgb="FF1E4E79"/>
      </bottom>
      <diagonal/>
    </border>
    <border diagonalUp="false" diagonalDown="false">
      <left style="hair"/>
      <right style="hair"/>
      <top style="hair"/>
      <bottom style="hair"/>
      <diagonal/>
    </border>
    <border diagonalUp="false" diagonalDown="false">
      <left style="thin">
        <color rgb="FFBDD6EE"/>
      </left>
      <right style="thin">
        <color rgb="FFBDD6EE"/>
      </right>
      <top style="thin">
        <color rgb="FFBDD6EE"/>
      </top>
      <bottom style="thin">
        <color rgb="FFBDD6EE"/>
      </bottom>
      <diagonal/>
    </border>
    <border diagonalUp="false" diagonalDown="false">
      <left style="dotted"/>
      <right style="dotted"/>
      <top style="dotted"/>
      <bottom style="dotted"/>
      <diagonal/>
    </border>
    <border diagonalUp="false" diagonalDown="false">
      <left style="dotted"/>
      <right style="dotted"/>
      <top/>
      <bottom/>
      <diagonal/>
    </border>
    <border diagonalUp="false" diagonalDown="false">
      <left/>
      <right style="dotted"/>
      <top style="dotted"/>
      <bottom style="thin">
        <color rgb="FF9CC2E5"/>
      </bottom>
      <diagonal/>
    </border>
    <border diagonalUp="false" diagonalDown="false">
      <left style="dotted"/>
      <right style="dotted"/>
      <top style="thin">
        <color rgb="FF9CC2E5"/>
      </top>
      <bottom/>
      <diagonal/>
    </border>
    <border diagonalUp="false" diagonalDown="false">
      <left/>
      <right style="dotted"/>
      <top/>
      <bottom/>
      <diagonal/>
    </border>
    <border diagonalUp="false" diagonalDown="false">
      <left/>
      <right style="dotted"/>
      <top style="thin">
        <color rgb="FF9CC2E5"/>
      </top>
      <bottom style="dotted">
        <color rgb="FF9CC2E5"/>
      </bottom>
      <diagonal/>
    </border>
    <border diagonalUp="false" diagonalDown="false">
      <left/>
      <right style="dotted"/>
      <top style="dotted">
        <color rgb="FF9CC2E5"/>
      </top>
      <bottom style="dotted">
        <color rgb="FF9CC2E5"/>
      </bottom>
      <diagonal/>
    </border>
    <border diagonalUp="false" diagonalDown="false">
      <left/>
      <right style="dotted"/>
      <top/>
      <bottom style="dotted">
        <color rgb="FF9CC2E5"/>
      </bottom>
      <diagonal/>
    </border>
    <border diagonalUp="false" diagonalDown="false">
      <left style="dotted"/>
      <right style="dotted"/>
      <top/>
      <bottom style="thin">
        <color rgb="FF9CC2E5"/>
      </bottom>
      <diagonal/>
    </border>
    <border diagonalUp="false" diagonalDown="false">
      <left/>
      <right style="dotted"/>
      <top/>
      <bottom style="thin">
        <color rgb="FF9CC2E5"/>
      </bottom>
      <diagonal/>
    </border>
    <border diagonalUp="false" diagonalDown="false">
      <left style="dotted"/>
      <right style="dotted"/>
      <top/>
      <bottom style="dotted"/>
      <diagonal/>
    </border>
    <border diagonalUp="false" diagonalDown="false">
      <left/>
      <right style="dotted"/>
      <top/>
      <bottom style="dotted"/>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3" xfId="0" applyFont="true" applyBorder="true" applyAlignment="false" applyProtection="false">
      <alignment horizontal="general" vertical="bottom"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true" applyProtection="false">
      <alignment horizontal="center" vertical="bottom" textRotation="0" wrapText="false" indent="0" shrinkToFit="false"/>
      <protection locked="true" hidden="false"/>
    </xf>
    <xf numFmtId="164" fontId="8" fillId="2" borderId="6" xfId="0" applyFont="true" applyBorder="true" applyAlignment="true" applyProtection="false">
      <alignment horizontal="center" vertical="center" textRotation="0" wrapText="true" indent="0" shrinkToFit="false"/>
      <protection locked="true" hidden="false"/>
    </xf>
    <xf numFmtId="164" fontId="9" fillId="2" borderId="4"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9" fillId="2" borderId="5" xfId="0" applyFont="true" applyBorder="true" applyAlignment="true" applyProtection="false">
      <alignment horizontal="center" vertical="center" textRotation="0" wrapText="true" indent="0" shrinkToFit="false"/>
      <protection locked="true" hidden="false"/>
    </xf>
    <xf numFmtId="164" fontId="10" fillId="2" borderId="6" xfId="0" applyFont="true" applyBorder="true" applyAlignment="true" applyProtection="false">
      <alignment horizontal="center" vertical="center" textRotation="0" wrapText="true" indent="0" shrinkToFit="false"/>
      <protection locked="true" hidden="false"/>
    </xf>
    <xf numFmtId="164" fontId="11" fillId="3" borderId="7" xfId="0" applyFont="true" applyBorder="true" applyAlignment="true" applyProtection="false">
      <alignment horizontal="center" vertical="center" textRotation="0" wrapText="false" indent="0" shrinkToFit="false"/>
      <protection locked="true" hidden="false"/>
    </xf>
    <xf numFmtId="164" fontId="12" fillId="2" borderId="7" xfId="0" applyFont="true" applyBorder="true" applyAlignment="true" applyProtection="false">
      <alignment horizontal="center" vertical="center" textRotation="0" wrapText="false" indent="0" shrinkToFit="false"/>
      <protection locked="true" hidden="false"/>
    </xf>
    <xf numFmtId="165" fontId="12" fillId="2" borderId="7" xfId="0" applyFont="true" applyBorder="true" applyAlignment="true" applyProtection="false">
      <alignment horizontal="center" vertical="center"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4" fillId="2" borderId="8" xfId="0" applyFont="true" applyBorder="true" applyAlignment="false" applyProtection="false">
      <alignment horizontal="general" vertical="bottom" textRotation="0" wrapText="false" indent="0" shrinkToFit="false"/>
      <protection locked="true" hidden="false"/>
    </xf>
    <xf numFmtId="164" fontId="4" fillId="2" borderId="9" xfId="0" applyFont="true" applyBorder="true" applyAlignment="false" applyProtection="false">
      <alignment horizontal="general" vertical="bottom" textRotation="0" wrapText="false" indent="0" shrinkToFit="false"/>
      <protection locked="true" hidden="false"/>
    </xf>
    <xf numFmtId="164" fontId="4" fillId="2" borderId="1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general"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5" fillId="0" borderId="11" xfId="0" applyFont="true" applyBorder="true" applyAlignment="true" applyProtection="false">
      <alignment horizontal="left" vertical="center" textRotation="0" wrapText="false" indent="0" shrinkToFit="false"/>
      <protection locked="true" hidden="false"/>
    </xf>
    <xf numFmtId="164" fontId="16" fillId="0" borderId="11" xfId="0" applyFont="true" applyBorder="true" applyAlignment="true" applyProtection="false">
      <alignment horizontal="left" vertical="center" textRotation="0" wrapText="false" indent="0" shrinkToFit="false"/>
      <protection locked="true" hidden="false"/>
    </xf>
    <xf numFmtId="164" fontId="16" fillId="0" borderId="11"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general" vertical="center" textRotation="0" wrapText="true" indent="0" shrinkToFit="false"/>
      <protection locked="true" hidden="false"/>
    </xf>
    <xf numFmtId="164" fontId="19" fillId="4" borderId="12" xfId="0" applyFont="true" applyBorder="true" applyAlignment="true" applyProtection="false">
      <alignment horizontal="left" vertical="center" textRotation="0" wrapText="false" indent="0" shrinkToFit="false"/>
      <protection locked="true" hidden="false"/>
    </xf>
    <xf numFmtId="164" fontId="20" fillId="2" borderId="12"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true" applyAlignment="true" applyProtection="false">
      <alignment horizontal="center" vertical="center" textRotation="0" wrapText="false" indent="0" shrinkToFit="false"/>
      <protection locked="true" hidden="false"/>
    </xf>
    <xf numFmtId="166" fontId="12" fillId="0" borderId="0" xfId="0" applyFont="true" applyBorder="false" applyAlignment="true" applyProtection="false">
      <alignment horizontal="general" vertical="center" textRotation="0" wrapText="true" indent="0" shrinkToFit="false"/>
      <protection locked="true" hidden="false"/>
    </xf>
    <xf numFmtId="166" fontId="12" fillId="0" borderId="0" xfId="0" applyFont="true" applyBorder="true" applyAlignment="true" applyProtection="false">
      <alignment horizontal="general" vertical="center" textRotation="0" wrapText="true" indent="0" shrinkToFit="false"/>
      <protection locked="true" hidden="false"/>
    </xf>
    <xf numFmtId="166" fontId="12"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true" applyAlignment="true" applyProtection="false">
      <alignment horizontal="general" vertical="center" textRotation="0" wrapText="true" indent="0" shrinkToFit="false"/>
      <protection locked="true" hidden="false"/>
    </xf>
    <xf numFmtId="164" fontId="21" fillId="2" borderId="12" xfId="0" applyFont="true" applyBorder="true" applyAlignment="true" applyProtection="false">
      <alignment horizontal="left" vertical="center" textRotation="0" wrapText="false" indent="0" shrinkToFit="false"/>
      <protection locked="true" hidden="false"/>
    </xf>
    <xf numFmtId="164" fontId="22" fillId="5" borderId="0" xfId="0" applyFont="true" applyBorder="tru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center" vertical="center" textRotation="0" wrapText="true" indent="0" shrinkToFit="false"/>
      <protection locked="true" hidden="false"/>
    </xf>
    <xf numFmtId="164" fontId="24" fillId="6" borderId="13" xfId="0" applyFont="true" applyBorder="true" applyAlignment="true" applyProtection="false">
      <alignment horizontal="center" vertical="center" textRotation="0" wrapText="true" indent="0" shrinkToFit="false"/>
      <protection locked="true" hidden="false"/>
    </xf>
    <xf numFmtId="164" fontId="25" fillId="6" borderId="13" xfId="0" applyFont="true" applyBorder="true" applyAlignment="true" applyProtection="false">
      <alignment horizontal="center" vertical="center" textRotation="0" wrapText="true" indent="0" shrinkToFit="false"/>
      <protection locked="true" hidden="false"/>
    </xf>
    <xf numFmtId="164" fontId="26" fillId="0" borderId="0" xfId="0" applyFont="true" applyBorder="false" applyAlignment="true" applyProtection="false">
      <alignment horizontal="center" vertical="center" textRotation="0" wrapText="true" indent="0" shrinkToFit="false"/>
      <protection locked="true" hidden="false"/>
    </xf>
    <xf numFmtId="164" fontId="12" fillId="7" borderId="13" xfId="0" applyFont="true" applyBorder="true" applyAlignment="true" applyProtection="false">
      <alignment horizontal="center" vertical="center" textRotation="0" wrapText="true" indent="0" shrinkToFit="false"/>
      <protection locked="true" hidden="false"/>
    </xf>
    <xf numFmtId="167" fontId="27" fillId="0" borderId="13" xfId="0" applyFont="true" applyBorder="true" applyAlignment="true" applyProtection="false">
      <alignment horizontal="center" vertical="center" textRotation="0" wrapText="true" indent="0" shrinkToFit="false" readingOrder="1"/>
      <protection locked="true" hidden="false"/>
    </xf>
    <xf numFmtId="164" fontId="17" fillId="0" borderId="13" xfId="0" applyFont="true" applyBorder="true" applyAlignment="true" applyProtection="false">
      <alignment horizontal="general" vertical="center" textRotation="0" wrapText="true" indent="0" shrinkToFit="false"/>
      <protection locked="true" hidden="false"/>
    </xf>
    <xf numFmtId="164" fontId="27" fillId="0" borderId="13" xfId="0" applyFont="true" applyBorder="true" applyAlignment="true" applyProtection="false">
      <alignment horizontal="center" vertical="center" textRotation="0" wrapText="true" indent="0" shrinkToFit="false" readingOrder="1"/>
      <protection locked="true" hidden="false"/>
    </xf>
    <xf numFmtId="164" fontId="17" fillId="0" borderId="13" xfId="0" applyFont="true" applyBorder="true" applyAlignment="true" applyProtection="false">
      <alignment horizontal="center" vertical="center" textRotation="0" wrapText="true" indent="0" shrinkToFit="false"/>
      <protection locked="true" hidden="false"/>
    </xf>
    <xf numFmtId="164" fontId="12" fillId="0" borderId="13" xfId="0" applyFont="true" applyBorder="true" applyAlignment="true" applyProtection="false">
      <alignment horizontal="center" vertical="center" textRotation="0" wrapText="true" indent="0" shrinkToFit="false"/>
      <protection locked="true" hidden="false"/>
    </xf>
    <xf numFmtId="168" fontId="17" fillId="0" borderId="13"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0" fillId="7" borderId="13"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left" vertical="center" textRotation="0" wrapText="false" indent="0" shrinkToFit="false"/>
      <protection locked="true" hidden="false"/>
    </xf>
    <xf numFmtId="164" fontId="30" fillId="8" borderId="14" xfId="0" applyFont="true" applyBorder="true" applyAlignment="true" applyProtection="false">
      <alignment horizontal="left" vertical="center" textRotation="0" wrapText="false" indent="0" shrinkToFit="false"/>
      <protection locked="true" hidden="false"/>
    </xf>
    <xf numFmtId="164" fontId="31" fillId="0" borderId="14" xfId="0" applyFont="true" applyBorder="true" applyAlignment="true" applyProtection="false">
      <alignment horizontal="left" vertical="top" textRotation="0" wrapText="true" indent="0" shrinkToFit="false"/>
      <protection locked="true" hidden="false"/>
    </xf>
    <xf numFmtId="164" fontId="30" fillId="8" borderId="14" xfId="0" applyFont="true" applyBorder="true" applyAlignment="true" applyProtection="false">
      <alignment horizontal="center" vertical="center" textRotation="0" wrapText="false" indent="0" shrinkToFit="false"/>
      <protection locked="true" hidden="false"/>
    </xf>
    <xf numFmtId="164" fontId="32" fillId="8" borderId="14" xfId="0" applyFont="true" applyBorder="true" applyAlignment="true" applyProtection="false">
      <alignment horizontal="center" vertical="center" textRotation="0" wrapText="false" indent="0" shrinkToFit="false"/>
      <protection locked="true" hidden="false"/>
    </xf>
    <xf numFmtId="164" fontId="0" fillId="0" borderId="14" xfId="0" applyFont="true" applyBorder="true" applyAlignment="true" applyProtection="false">
      <alignment horizontal="left" vertical="top" textRotation="0" wrapText="true" indent="0" shrinkToFit="false"/>
      <protection locked="true" hidden="false"/>
    </xf>
    <xf numFmtId="169" fontId="33" fillId="0" borderId="14" xfId="0" applyFont="true" applyBorder="true" applyAlignment="true" applyProtection="false">
      <alignment horizontal="center" vertical="center" textRotation="0" wrapText="false" indent="0" shrinkToFit="false"/>
      <protection locked="true" hidden="false"/>
    </xf>
    <xf numFmtId="164" fontId="34" fillId="9" borderId="14" xfId="0" applyFont="true" applyBorder="true" applyAlignment="true" applyProtection="false">
      <alignment horizontal="center" vertical="center" textRotation="0" wrapText="true" indent="0" shrinkToFit="false"/>
      <protection locked="true" hidden="false"/>
    </xf>
    <xf numFmtId="164" fontId="35" fillId="10" borderId="14" xfId="0" applyFont="true" applyBorder="true" applyAlignment="true" applyProtection="false">
      <alignment horizontal="center" vertical="center" textRotation="0" wrapText="true" indent="0" shrinkToFit="false"/>
      <protection locked="true" hidden="false"/>
    </xf>
    <xf numFmtId="164" fontId="30" fillId="11" borderId="14" xfId="0" applyFont="true" applyBorder="true" applyAlignment="true" applyProtection="false">
      <alignment horizontal="center" vertical="center" textRotation="0" wrapText="true" indent="0" shrinkToFit="false"/>
      <protection locked="true" hidden="false"/>
    </xf>
    <xf numFmtId="164" fontId="36" fillId="11" borderId="14" xfId="0" applyFont="true" applyBorder="true" applyAlignment="true" applyProtection="false">
      <alignment horizontal="center" vertical="center" textRotation="0" wrapText="true" indent="0" shrinkToFit="false"/>
      <protection locked="true" hidden="false"/>
    </xf>
    <xf numFmtId="164" fontId="0" fillId="12" borderId="14" xfId="0" applyFont="true" applyBorder="true" applyAlignment="false" applyProtection="false">
      <alignment horizontal="general" vertical="bottom" textRotation="0" wrapText="false" indent="0" shrinkToFit="false"/>
      <protection locked="true" hidden="false"/>
    </xf>
    <xf numFmtId="164" fontId="37" fillId="12" borderId="14" xfId="0" applyFont="true" applyBorder="true" applyAlignment="false" applyProtection="false">
      <alignment horizontal="general" vertical="bottom" textRotation="0" wrapText="false" indent="0" shrinkToFit="false"/>
      <protection locked="true" hidden="false"/>
    </xf>
    <xf numFmtId="169" fontId="37" fillId="12" borderId="14" xfId="0" applyFont="true" applyBorder="true" applyAlignment="true" applyProtection="false">
      <alignment horizontal="center" vertical="bottom" textRotation="0" wrapText="false" indent="0" shrinkToFit="false"/>
      <protection locked="true" hidden="false"/>
    </xf>
    <xf numFmtId="170" fontId="37" fillId="12" borderId="14" xfId="0" applyFont="true" applyBorder="true" applyAlignment="true" applyProtection="false">
      <alignment horizontal="center" vertical="bottom" textRotation="0" wrapText="false" indent="0" shrinkToFit="false"/>
      <protection locked="true" hidden="false"/>
    </xf>
    <xf numFmtId="171" fontId="37" fillId="12" borderId="1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14" xfId="0" applyFont="true" applyBorder="true" applyAlignment="true" applyProtection="false">
      <alignment horizontal="general" vertical="bottom" textRotation="0" wrapText="true" indent="0" shrinkToFit="false"/>
      <protection locked="true" hidden="false"/>
    </xf>
    <xf numFmtId="169" fontId="0" fillId="0" borderId="14" xfId="0" applyFont="true" applyBorder="true" applyAlignment="true" applyProtection="false">
      <alignment horizontal="center" vertical="bottom" textRotation="0" wrapText="false" indent="0" shrinkToFit="false"/>
      <protection locked="true" hidden="false"/>
    </xf>
    <xf numFmtId="164" fontId="38" fillId="13" borderId="14"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71" fontId="0" fillId="0" borderId="14"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true" applyProtection="false">
      <alignment horizontal="right" vertical="bottom" textRotation="0" wrapText="false" indent="0" shrinkToFit="false"/>
      <protection locked="true" hidden="false"/>
    </xf>
    <xf numFmtId="164" fontId="0" fillId="0" borderId="14" xfId="0" applyFont="true" applyBorder="true" applyAlignment="true" applyProtection="false">
      <alignment horizontal="general" vertical="bottom" textRotation="0" wrapText="false" indent="0" shrinkToFit="false"/>
      <protection locked="true" hidden="false"/>
    </xf>
    <xf numFmtId="164" fontId="39" fillId="14" borderId="14" xfId="0" applyFont="true" applyBorder="true" applyAlignment="true" applyProtection="false">
      <alignment horizontal="center" vertical="bottom" textRotation="0" wrapText="false" indent="0" shrinkToFit="false"/>
      <protection locked="true" hidden="false"/>
    </xf>
    <xf numFmtId="164" fontId="40" fillId="15" borderId="14" xfId="0" applyFont="true" applyBorder="true" applyAlignment="true" applyProtection="false">
      <alignment horizontal="center" vertical="bottom" textRotation="0" wrapText="false" indent="0" shrinkToFit="false"/>
      <protection locked="true" hidden="false"/>
    </xf>
    <xf numFmtId="164" fontId="41" fillId="3" borderId="15" xfId="0" applyFont="true" applyBorder="true" applyAlignment="true" applyProtection="false">
      <alignment horizontal="general" vertical="center" textRotation="0" wrapText="true" indent="0" shrinkToFit="false"/>
      <protection locked="true" hidden="false"/>
    </xf>
    <xf numFmtId="164" fontId="42" fillId="0" borderId="16" xfId="0" applyFont="true" applyBorder="true" applyAlignment="true" applyProtection="false">
      <alignment horizontal="general" vertical="center" textRotation="0" wrapText="true" indent="0" shrinkToFit="false"/>
      <protection locked="true" hidden="false"/>
    </xf>
    <xf numFmtId="164" fontId="44" fillId="2" borderId="17" xfId="0" applyFont="true" applyBorder="true" applyAlignment="true" applyProtection="false">
      <alignment horizontal="general" vertical="center" textRotation="0" wrapText="true" indent="0" shrinkToFit="false"/>
      <protection locked="true" hidden="false"/>
    </xf>
    <xf numFmtId="164" fontId="0" fillId="0" borderId="18" xfId="0" applyFont="true" applyBorder="true" applyAlignment="true" applyProtection="false">
      <alignment horizontal="general" vertical="center" textRotation="0" wrapText="true" indent="0" shrinkToFit="false"/>
      <protection locked="true" hidden="false"/>
    </xf>
    <xf numFmtId="164" fontId="0" fillId="0" borderId="19" xfId="0" applyFont="true" applyBorder="true" applyAlignment="true" applyProtection="false">
      <alignment horizontal="general" vertical="center" textRotation="0" wrapText="true" indent="0" shrinkToFit="false"/>
      <protection locked="true" hidden="false"/>
    </xf>
    <xf numFmtId="164" fontId="45" fillId="16" borderId="15" xfId="0" applyFont="true" applyBorder="true" applyAlignment="true" applyProtection="false">
      <alignment horizontal="center" vertical="center" textRotation="0" wrapText="true" indent="0" shrinkToFit="false"/>
      <protection locked="true" hidden="false"/>
    </xf>
    <xf numFmtId="164" fontId="0" fillId="0" borderId="20" xfId="0" applyFont="true" applyBorder="true" applyAlignment="true" applyProtection="false">
      <alignment horizontal="left" vertical="center" textRotation="0" wrapText="true" indent="0" shrinkToFit="false"/>
      <protection locked="true" hidden="false"/>
    </xf>
    <xf numFmtId="164" fontId="38" fillId="13" borderId="15" xfId="0" applyFont="true" applyBorder="true" applyAlignment="true" applyProtection="false">
      <alignment horizontal="center" vertical="center" textRotation="0" wrapText="true" indent="0" shrinkToFit="false"/>
      <protection locked="true" hidden="false"/>
    </xf>
    <xf numFmtId="164" fontId="0" fillId="0" borderId="20" xfId="0" applyFont="true" applyBorder="true" applyAlignment="true" applyProtection="false">
      <alignment horizontal="general" vertical="center" textRotation="0" wrapText="true" indent="0" shrinkToFit="false"/>
      <protection locked="true" hidden="false"/>
    </xf>
    <xf numFmtId="164" fontId="46" fillId="17" borderId="15" xfId="0" applyFont="true" applyBorder="true" applyAlignment="true" applyProtection="false">
      <alignment horizontal="center" vertical="center" textRotation="0" wrapText="true" indent="0" shrinkToFit="false"/>
      <protection locked="true" hidden="false"/>
    </xf>
    <xf numFmtId="164" fontId="0" fillId="0" borderId="21" xfId="0" applyFont="true" applyBorder="true" applyAlignment="true" applyProtection="false">
      <alignment horizontal="general" vertical="center" textRotation="0" wrapText="true" indent="0" shrinkToFit="false"/>
      <protection locked="true" hidden="false"/>
    </xf>
    <xf numFmtId="164" fontId="27" fillId="2" borderId="22" xfId="0" applyFont="true" applyBorder="true" applyAlignment="true" applyProtection="false">
      <alignment horizontal="center" vertical="center" textRotation="0" wrapText="true" indent="0" shrinkToFit="false" readingOrder="1"/>
      <protection locked="true" hidden="false"/>
    </xf>
    <xf numFmtId="164" fontId="0" fillId="0" borderId="23" xfId="0" applyFont="true" applyBorder="true" applyAlignment="true" applyProtection="false">
      <alignment horizontal="general" vertical="center" textRotation="0" wrapText="true" indent="0" shrinkToFit="false"/>
      <protection locked="true" hidden="false"/>
    </xf>
    <xf numFmtId="164" fontId="27" fillId="2" borderId="24" xfId="0" applyFont="true" applyBorder="true" applyAlignment="true" applyProtection="false">
      <alignment horizontal="center" vertical="center" textRotation="0" wrapText="true" indent="0" shrinkToFit="false" readingOrder="1"/>
      <protection locked="true" hidden="false"/>
    </xf>
    <xf numFmtId="164" fontId="0" fillId="0" borderId="25"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2037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3F3F3F"/>
          <bgColor rgb="FF000000"/>
        </patternFill>
      </fill>
    </dxf>
    <dxf>
      <fill>
        <patternFill patternType="solid">
          <fgColor rgb="FFDDEBF7"/>
          <bgColor rgb="FF000000"/>
        </patternFill>
      </fill>
    </dxf>
    <dxf>
      <fill>
        <patternFill patternType="solid">
          <fgColor rgb="FFFFC7CE"/>
          <bgColor rgb="FF000000"/>
        </patternFill>
      </fill>
    </dxf>
    <dxf>
      <fill>
        <patternFill patternType="solid">
          <fgColor rgb="FFFFF2CC"/>
          <bgColor rgb="FF000000"/>
        </patternFill>
      </fill>
    </dxf>
    <dxf>
      <fill>
        <patternFill patternType="solid">
          <fgColor rgb="FF9C0006"/>
          <bgColor rgb="FF000000"/>
        </patternFill>
      </fill>
    </dxf>
    <dxf>
      <fill>
        <patternFill patternType="solid">
          <fgColor rgb="FF9C5700"/>
          <bgColor rgb="FF000000"/>
        </patternFill>
      </fill>
    </dxf>
    <dxf>
      <fill>
        <patternFill patternType="solid">
          <fgColor rgb="FFA6A6A6"/>
          <bgColor rgb="FF000000"/>
        </patternFill>
      </fill>
    </dxf>
    <dxf>
      <fill>
        <patternFill patternType="solid">
          <fgColor rgb="FFC6EFCE"/>
          <bgColor rgb="FF000000"/>
        </patternFill>
      </fill>
    </dxf>
    <dxf>
      <fill>
        <patternFill patternType="solid">
          <fgColor rgb="FF006100"/>
          <bgColor rgb="FF000000"/>
        </patternFill>
      </fill>
    </dxf>
    <dxf>
      <font>
        <color rgb="FFFFFFFF"/>
      </font>
      <fill>
        <patternFill>
          <bgColor rgb="FFFF0000"/>
        </patternFill>
      </fill>
    </dxf>
    <dxf>
      <font>
        <color rgb="FF9C0006"/>
      </font>
      <fill>
        <patternFill>
          <bgColor rgb="FFDDEBF7"/>
        </patternFill>
      </fill>
    </dxf>
    <dxf>
      <font>
        <color rgb="FF9C5700"/>
      </font>
      <fill>
        <patternFill>
          <bgColor rgb="FFFFF2CC"/>
        </patternFill>
      </fill>
    </dxf>
    <dxf>
      <font>
        <color rgb="FF9C0006"/>
      </font>
      <fill>
        <patternFill>
          <bgColor rgb="FFFFC7CE"/>
        </patternFill>
      </fill>
    </dxf>
    <dxf>
      <font>
        <color rgb="FF9C0006"/>
      </font>
      <fill>
        <patternFill>
          <bgColor rgb="FFA6A6A6"/>
        </patternFill>
      </fill>
    </dxf>
    <dxf>
      <font>
        <color rgb="FF9C0006"/>
      </font>
      <fill>
        <patternFill>
          <bgColor rgb="FFF4B084"/>
        </patternFill>
      </fill>
    </dxf>
    <dxf>
      <font>
        <color rgb="FF006100"/>
      </font>
      <fill>
        <patternFill>
          <bgColor rgb="FFC6EFCE"/>
        </patternFill>
      </fill>
    </dxf>
    <dxf>
      <font>
        <color rgb="FF000000"/>
      </font>
      <fill>
        <patternFill/>
      </fill>
    </dxf>
    <dxf>
      <font>
        <color rgb="FF1F497D"/>
      </font>
      <fill>
        <patternFill>
          <bgColor rgb="FFDDEBF7"/>
        </patternFill>
      </fill>
    </dxf>
    <dxf>
      <font>
        <color rgb="FFD55709"/>
      </font>
      <fill>
        <patternFill>
          <bgColor rgb="FFF4B084"/>
        </patternFill>
      </fill>
    </dxf>
    <dxf>
      <font>
        <color rgb="FF262626"/>
      </font>
      <fill>
        <patternFill>
          <bgColor rgb="FFA6A6A6"/>
        </patternFill>
      </fill>
    </dxf>
  </dxfs>
  <colors>
    <indexedColors>
      <rgbColor rgb="FF000000"/>
      <rgbColor rgb="FFFFFFFF"/>
      <rgbColor rgb="FFFF0000"/>
      <rgbColor rgb="FF00FF00"/>
      <rgbColor rgb="FF0000FF"/>
      <rgbColor rgb="FFFFE598"/>
      <rgbColor rgb="FFFF00FF"/>
      <rgbColor rgb="FF00FFFF"/>
      <rgbColor rgb="FF800000"/>
      <rgbColor rgb="FF006100"/>
      <rgbColor rgb="FF000080"/>
      <rgbColor rgb="FF9C6500"/>
      <rgbColor rgb="FF800080"/>
      <rgbColor rgb="FF1E4E79"/>
      <rgbColor rgb="FFD6DCE4"/>
      <rgbColor rgb="FF7F7F7F"/>
      <rgbColor rgb="FF798EA9"/>
      <rgbColor rgb="FFC65911"/>
      <rgbColor rgb="FFFFF2CC"/>
      <rgbColor rgb="FFDDEBF7"/>
      <rgbColor rgb="FF660066"/>
      <rgbColor rgb="FFD55709"/>
      <rgbColor rgb="FF0563C1"/>
      <rgbColor rgb="FFBDD6EE"/>
      <rgbColor rgb="FF000080"/>
      <rgbColor rgb="FFFF00FF"/>
      <rgbColor rgb="FFFBE4D5"/>
      <rgbColor rgb="FF00FFFF"/>
      <rgbColor rgb="FF800080"/>
      <rgbColor rgb="FF9C0006"/>
      <rgbColor rgb="FF1F497D"/>
      <rgbColor rgb="FF0000FF"/>
      <rgbColor rgb="FF00CCFF"/>
      <rgbColor rgb="FFDEEAF6"/>
      <rgbColor rgb="FFC6EFCE"/>
      <rgbColor rgb="FFFFEB9C"/>
      <rgbColor rgb="FF9CC2E5"/>
      <rgbColor rgb="FFF4B084"/>
      <rgbColor rgb="FFE7E6E6"/>
      <rgbColor rgb="FFFFC7CE"/>
      <rgbColor rgb="FF4472C4"/>
      <rgbColor rgb="FF33CCCC"/>
      <rgbColor rgb="FF99CC00"/>
      <rgbColor rgb="FFFFD965"/>
      <rgbColor rgb="FFFF9900"/>
      <rgbColor rgb="FFED7D31"/>
      <rgbColor rgb="FF305496"/>
      <rgbColor rgb="FFA6A6A6"/>
      <rgbColor rgb="FF002060"/>
      <rgbColor rgb="FF339966"/>
      <rgbColor rgb="FF0C0C0C"/>
      <rgbColor rgb="FF262626"/>
      <rgbColor rgb="FF9C5700"/>
      <rgbColor rgb="FFC55A11"/>
      <rgbColor rgb="FF203764"/>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sharedStrings" Target="sharedStrings.xml" />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
</Relationships>
</file>

<file path=xl/drawings/_rels/drawing3.xml.rels><?xml version="1.0" encoding="UTF-8"?>
<Relationships xmlns="http://schemas.openxmlformats.org/package/2006/relationships"><Relationship Id="rId1"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2</xdr:row>
      <xdr:rowOff>76320</xdr:rowOff>
    </xdr:from>
    <xdr:to>
      <xdr:col>11</xdr:col>
      <xdr:colOff>190440</xdr:colOff>
      <xdr:row>3</xdr:row>
      <xdr:rowOff>123840</xdr:rowOff>
    </xdr:to>
    <xdr:pic>
      <xdr:nvPicPr>
        <xdr:cNvPr id="0" name="image1.png" descr=""/>
        <xdr:cNvPicPr/>
      </xdr:nvPicPr>
      <xdr:blipFill>
        <a:blip r:embed="rId1"/>
        <a:stretch/>
      </xdr:blipFill>
      <xdr:spPr>
        <a:xfrm>
          <a:off x="3341520" y="1086120"/>
          <a:ext cx="2323800" cy="55224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9360</xdr:colOff>
      <xdr:row>15</xdr:row>
      <xdr:rowOff>47520</xdr:rowOff>
    </xdr:from>
    <xdr:to>
      <xdr:col>25</xdr:col>
      <xdr:colOff>818640</xdr:colOff>
      <xdr:row>16</xdr:row>
      <xdr:rowOff>151560</xdr:rowOff>
    </xdr:to>
    <xdr:pic>
      <xdr:nvPicPr>
        <xdr:cNvPr id="1" name="image2.png" descr=""/>
        <xdr:cNvPicPr/>
      </xdr:nvPicPr>
      <xdr:blipFill>
        <a:blip r:embed="rId1"/>
        <a:stretch/>
      </xdr:blipFill>
      <xdr:spPr>
        <a:xfrm>
          <a:off x="23885280" y="3171600"/>
          <a:ext cx="809280" cy="294840"/>
        </a:xfrm>
        <a:prstGeom prst="rect">
          <a:avLst/>
        </a:prstGeom>
        <a:ln w="0">
          <a:noFill/>
        </a:ln>
      </xdr:spPr>
    </xdr:pic>
    <xdr:clientData/>
  </xdr:twoCellAnchor>
  <xdr:twoCellAnchor editAs="oneCell">
    <xdr:from>
      <xdr:col>1</xdr:col>
      <xdr:colOff>0</xdr:colOff>
      <xdr:row>4</xdr:row>
      <xdr:rowOff>0</xdr:rowOff>
    </xdr:from>
    <xdr:to>
      <xdr:col>12</xdr:col>
      <xdr:colOff>544680</xdr:colOff>
      <xdr:row>42</xdr:row>
      <xdr:rowOff>37800</xdr:rowOff>
    </xdr:to>
    <xdr:pic>
      <xdr:nvPicPr>
        <xdr:cNvPr id="2" name="image3.png" descr=""/>
        <xdr:cNvPicPr/>
      </xdr:nvPicPr>
      <xdr:blipFill>
        <a:blip r:embed="rId2"/>
        <a:stretch/>
      </xdr:blipFill>
      <xdr:spPr>
        <a:xfrm>
          <a:off x="614160" y="1028880"/>
          <a:ext cx="10581840" cy="748620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247680</xdr:colOff>
      <xdr:row>2</xdr:row>
      <xdr:rowOff>28440</xdr:rowOff>
    </xdr:from>
    <xdr:to>
      <xdr:col>7</xdr:col>
      <xdr:colOff>873360</xdr:colOff>
      <xdr:row>15</xdr:row>
      <xdr:rowOff>66240</xdr:rowOff>
    </xdr:to>
    <xdr:sp>
      <xdr:nvSpPr>
        <xdr:cNvPr id="3" name=""/>
        <xdr:cNvSpPr/>
      </xdr:nvSpPr>
      <xdr:spPr>
        <a:xfrm>
          <a:off x="13307760" y="752400"/>
          <a:ext cx="1733040" cy="28573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latin typeface="Times New Roman"/>
            </a:rPr>
            <a:t>This shape represents a table slicer. Table slicers are not supported in this version of Excel. If the shape was modified in an earlier version of Excel, or if the workbook was saved in Excel 2007 or earlier, the slicer can't be used.</a:t>
          </a:r>
          <a:endParaRPr b="0" lang="en-US" sz="1100" spc="-1" strike="noStrike">
            <a:latin typeface="Times New Roman"/>
          </a:endParaRPr>
        </a:p>
      </xdr:txBody>
    </xdr:sp>
    <xdr:clientData/>
  </xdr:twoCellAnchor>
  <xdr:twoCellAnchor editAs="oneCell">
    <xdr:from>
      <xdr:col>8</xdr:col>
      <xdr:colOff>38160</xdr:colOff>
      <xdr:row>2</xdr:row>
      <xdr:rowOff>19080</xdr:rowOff>
    </xdr:from>
    <xdr:to>
      <xdr:col>9</xdr:col>
      <xdr:colOff>469440</xdr:colOff>
      <xdr:row>15</xdr:row>
      <xdr:rowOff>56880</xdr:rowOff>
    </xdr:to>
    <xdr:sp>
      <xdr:nvSpPr>
        <xdr:cNvPr id="4" name=""/>
        <xdr:cNvSpPr/>
      </xdr:nvSpPr>
      <xdr:spPr>
        <a:xfrm>
          <a:off x="15212880" y="743040"/>
          <a:ext cx="1961640" cy="28573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latin typeface="Times New Roman"/>
            </a:rPr>
            <a:t>This shape represents a table slicer. Table slicers are not supported in this version of Excel. If the shape was modified in an earlier version of Excel, or if the workbook was saved in Excel 2007 or earlier, the slicer can't be used.</a:t>
          </a:r>
          <a:endParaRPr b="0" lang="en-US" sz="1100" spc="-1" strike="noStrike">
            <a:latin typeface="Times New Roman"/>
          </a:endParaRPr>
        </a:p>
      </xdr:txBody>
    </xdr:sp>
    <xdr:clientData/>
  </xdr:twoCellAnchor>
  <xdr:twoCellAnchor editAs="oneCell">
    <xdr:from>
      <xdr:col>9</xdr:col>
      <xdr:colOff>609480</xdr:colOff>
      <xdr:row>2</xdr:row>
      <xdr:rowOff>19080</xdr:rowOff>
    </xdr:from>
    <xdr:to>
      <xdr:col>11</xdr:col>
      <xdr:colOff>70920</xdr:colOff>
      <xdr:row>15</xdr:row>
      <xdr:rowOff>56880</xdr:rowOff>
    </xdr:to>
    <xdr:sp>
      <xdr:nvSpPr>
        <xdr:cNvPr id="5" name=""/>
        <xdr:cNvSpPr/>
      </xdr:nvSpPr>
      <xdr:spPr>
        <a:xfrm>
          <a:off x="17314560" y="743040"/>
          <a:ext cx="1676160" cy="28573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latin typeface="Times New Roman"/>
            </a:rPr>
            <a:t>This shape represents a table slicer. Table slicers are not supported in this version of Excel. If the shape was modified in an earlier version of Excel, or if the workbook was saved in Excel 2007 or earlier, the slicer can't be used.</a:t>
          </a:r>
          <a:endParaRPr b="0" lang="en-US" sz="1100" spc="-1" strike="noStrike">
            <a:latin typeface="Times New Roman"/>
          </a:endParaRPr>
        </a:p>
      </xdr:txBody>
    </xdr:sp>
    <xdr:clientData/>
  </xdr:twoCellAnchor>
  <xdr:twoCellAnchor editAs="oneCell">
    <xdr:from>
      <xdr:col>11</xdr:col>
      <xdr:colOff>257040</xdr:colOff>
      <xdr:row>2</xdr:row>
      <xdr:rowOff>28440</xdr:rowOff>
    </xdr:from>
    <xdr:to>
      <xdr:col>12</xdr:col>
      <xdr:colOff>140040</xdr:colOff>
      <xdr:row>15</xdr:row>
      <xdr:rowOff>66240</xdr:rowOff>
    </xdr:to>
    <xdr:sp>
      <xdr:nvSpPr>
        <xdr:cNvPr id="6" name=""/>
        <xdr:cNvSpPr/>
      </xdr:nvSpPr>
      <xdr:spPr>
        <a:xfrm>
          <a:off x="19176840" y="752400"/>
          <a:ext cx="1695240" cy="2857320"/>
        </a:xfrm>
        <a:prstGeom prst="rect">
          <a:avLst/>
        </a:prstGeom>
        <a:solidFill>
          <a:srgbClr val="ffffff"/>
        </a:solidFill>
        <a:ln w="1">
          <a:solidFill>
            <a:srgbClr val="008000"/>
          </a:solidFill>
        </a:ln>
      </xdr:spPr>
      <xdr:style>
        <a:lnRef idx="0"/>
        <a:fillRef idx="0"/>
        <a:effectRef idx="0"/>
        <a:fontRef idx="minor"/>
      </xdr:style>
      <xdr:txBody>
        <a:bodyPr horzOverflow="clip" vertOverflow="clip" lIns="90000" rIns="90000" tIns="45000" bIns="45000" anchor="t">
          <a:noAutofit/>
        </a:bodyPr>
        <a:p>
          <a:pPr>
            <a:lnSpc>
              <a:spcPct val="100000"/>
            </a:lnSpc>
          </a:pPr>
          <a:r>
            <a:rPr b="0" lang="en-US" sz="1100" spc="-1" strike="noStrike">
              <a:latin typeface="Times New Roman"/>
            </a:rPr>
            <a:t>This shape represents a table slicer. Table slicers are not supported in this version of Excel. If the shape was modified in an earlier version of Excel, or if the workbook was saved in Excel 2007 or earlier, the slicer can't be used.</a:t>
          </a:r>
          <a:endParaRPr b="0" lang="en-US" sz="1100" spc="-1" strike="noStrike">
            <a:latin typeface="Times New Roman"/>
          </a:endParaRPr>
        </a:p>
      </xdr:txBody>
    </xdr:sp>
    <xdr:clientData/>
  </xdr:twoCellAnchor>
  <xdr:twoCellAnchor editAs="oneCell">
    <xdr:from>
      <xdr:col>3</xdr:col>
      <xdr:colOff>228600</xdr:colOff>
      <xdr:row>11</xdr:row>
      <xdr:rowOff>104760</xdr:rowOff>
    </xdr:from>
    <xdr:to>
      <xdr:col>5</xdr:col>
      <xdr:colOff>3193560</xdr:colOff>
      <xdr:row>19</xdr:row>
      <xdr:rowOff>95040</xdr:rowOff>
    </xdr:to>
    <xdr:pic>
      <xdr:nvPicPr>
        <xdr:cNvPr id="7" name="image4.png" descr=""/>
        <xdr:cNvPicPr/>
      </xdr:nvPicPr>
      <xdr:blipFill>
        <a:blip r:embed="rId1"/>
        <a:stretch/>
      </xdr:blipFill>
      <xdr:spPr>
        <a:xfrm>
          <a:off x="1497240" y="2886120"/>
          <a:ext cx="6428880" cy="15141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9360</xdr:colOff>
      <xdr:row>26</xdr:row>
      <xdr:rowOff>47520</xdr:rowOff>
    </xdr:from>
    <xdr:to>
      <xdr:col>25</xdr:col>
      <xdr:colOff>818640</xdr:colOff>
      <xdr:row>27</xdr:row>
      <xdr:rowOff>142200</xdr:rowOff>
    </xdr:to>
    <xdr:pic>
      <xdr:nvPicPr>
        <xdr:cNvPr id="8" name="image2.png" descr=""/>
        <xdr:cNvPicPr/>
      </xdr:nvPicPr>
      <xdr:blipFill>
        <a:blip r:embed="rId1"/>
        <a:stretch/>
      </xdr:blipFill>
      <xdr:spPr>
        <a:xfrm>
          <a:off x="23885280" y="8486640"/>
          <a:ext cx="809280" cy="294840"/>
        </a:xfrm>
        <a:prstGeom prst="rect">
          <a:avLst/>
        </a:prstGeom>
        <a:ln w="0">
          <a:noFill/>
        </a:ln>
      </xdr:spPr>
    </xdr:pic>
    <xdr:clientData/>
  </xdr:twoCellAnchor>
</xdr:wsDr>
</file>

<file path=xl/tables/table1.xml><?xml version="1.0" encoding="utf-8"?>
<table xmlns="http://schemas.openxmlformats.org/spreadsheetml/2006/main" id="1" name="Table_1" displayName="Table_1" ref="C21:L62" headerRowCount="1" totalsRowCount="0" totalsRowShown="0">
  <autoFilter ref="C21:L62">
    <filterColumn colId="5">
      <filters>
        <filter val="Sprint 3"/>
      </filters>
    </filterColumn>
  </autoFilter>
  <tableColumns count="10">
    <tableColumn id="1" name="REQUEST DATE"/>
    <tableColumn id="2" name="EPICS/ITEMS"/>
    <tableColumn id="3" name="MODULE/FEATURE"/>
    <tableColumn id="4" name="USER STORY/DESCRIPTION"/>
    <tableColumn id="5" name="PRIORITY"/>
    <tableColumn id="6" name="SPRINT BACKLOG/VERSION"/>
    <tableColumn id="7" name="STATUS"/>
    <tableColumn id="8" name="PO"/>
    <tableColumn id="9" name="RELEASE DATE"/>
    <tableColumn id="10" name="NOTE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ftms-stag.fpt.net/fcr" TargetMode="External"/><Relationship Id="rId2" Type="http://schemas.openxmlformats.org/officeDocument/2006/relationships/hyperlink" Target="https://ftms.fpt.net/fcr" TargetMode="External"/><Relationship Id="rId3" Type="http://schemas.openxmlformats.org/officeDocument/2006/relationships/drawing" Target="../drawings/drawing3.xml"/><Relationship Id="rId4"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
    <col collapsed="false" customWidth="true" hidden="false" outlineLevel="0" max="14" min="2" style="0" width="7.57"/>
    <col collapsed="false" customWidth="true" hidden="false" outlineLevel="0" max="15" min="15" style="0" width="9"/>
    <col collapsed="false" customWidth="true" hidden="false" outlineLevel="0" max="26" min="16" style="0" width="7.57"/>
  </cols>
  <sheetData>
    <row r="1" customFormat="false" ht="39.75" hidden="false" customHeight="true" outlineLevel="0" collapsed="false">
      <c r="A1" s="1"/>
      <c r="B1" s="1"/>
      <c r="C1" s="1"/>
      <c r="D1" s="1"/>
      <c r="E1" s="1"/>
      <c r="F1" s="1"/>
      <c r="G1" s="1"/>
      <c r="H1" s="1"/>
      <c r="I1" s="1"/>
      <c r="J1" s="1"/>
      <c r="K1" s="1"/>
      <c r="L1" s="1"/>
      <c r="M1" s="1"/>
      <c r="N1" s="1"/>
      <c r="O1" s="1"/>
      <c r="P1" s="1"/>
      <c r="Q1" s="1"/>
      <c r="R1" s="1"/>
      <c r="S1" s="1"/>
      <c r="T1" s="1"/>
      <c r="U1" s="1"/>
      <c r="V1" s="1"/>
      <c r="W1" s="2"/>
      <c r="X1" s="2"/>
      <c r="Y1" s="2"/>
      <c r="Z1" s="2"/>
    </row>
    <row r="2" customFormat="false" ht="39.75" hidden="false" customHeight="true" outlineLevel="0" collapsed="false">
      <c r="A2" s="1"/>
      <c r="B2" s="3"/>
      <c r="C2" s="4"/>
      <c r="D2" s="4"/>
      <c r="E2" s="4"/>
      <c r="F2" s="4"/>
      <c r="G2" s="4"/>
      <c r="H2" s="4"/>
      <c r="I2" s="4"/>
      <c r="J2" s="4"/>
      <c r="K2" s="4"/>
      <c r="L2" s="4"/>
      <c r="M2" s="4"/>
      <c r="N2" s="4"/>
      <c r="O2" s="5"/>
      <c r="P2" s="1"/>
      <c r="Q2" s="1"/>
      <c r="R2" s="1"/>
      <c r="S2" s="1"/>
      <c r="T2" s="1"/>
      <c r="U2" s="1"/>
      <c r="V2" s="1"/>
      <c r="W2" s="2"/>
      <c r="X2" s="2"/>
      <c r="Y2" s="2"/>
      <c r="Z2" s="2"/>
    </row>
    <row r="3" customFormat="false" ht="39.75" hidden="false" customHeight="true" outlineLevel="0" collapsed="false">
      <c r="A3" s="1"/>
      <c r="B3" s="6"/>
      <c r="C3" s="1"/>
      <c r="D3" s="1"/>
      <c r="E3" s="1"/>
      <c r="F3" s="1"/>
      <c r="G3" s="1"/>
      <c r="H3" s="1"/>
      <c r="I3" s="1"/>
      <c r="J3" s="1"/>
      <c r="K3" s="1"/>
      <c r="L3" s="1"/>
      <c r="M3" s="1"/>
      <c r="N3" s="1"/>
      <c r="O3" s="7"/>
      <c r="P3" s="1"/>
      <c r="Q3" s="1"/>
      <c r="R3" s="1"/>
      <c r="S3" s="1"/>
      <c r="T3" s="1"/>
      <c r="U3" s="1"/>
      <c r="V3" s="1"/>
      <c r="W3" s="2"/>
      <c r="X3" s="2"/>
      <c r="Y3" s="2"/>
      <c r="Z3" s="2"/>
    </row>
    <row r="4" customFormat="false" ht="39.75" hidden="false" customHeight="true" outlineLevel="0" collapsed="false">
      <c r="A4" s="1"/>
      <c r="B4" s="6"/>
      <c r="C4" s="1"/>
      <c r="D4" s="1"/>
      <c r="E4" s="1"/>
      <c r="F4" s="1"/>
      <c r="G4" s="1"/>
      <c r="H4" s="1"/>
      <c r="I4" s="8"/>
      <c r="J4" s="1"/>
      <c r="K4" s="1"/>
      <c r="L4" s="1"/>
      <c r="M4" s="1"/>
      <c r="N4" s="1"/>
      <c r="O4" s="7"/>
      <c r="P4" s="1"/>
      <c r="Q4" s="1"/>
      <c r="R4" s="1"/>
      <c r="S4" s="1"/>
      <c r="T4" s="1"/>
      <c r="U4" s="1"/>
      <c r="V4" s="1"/>
      <c r="W4" s="2"/>
      <c r="X4" s="2"/>
      <c r="Y4" s="2"/>
      <c r="Z4" s="2"/>
    </row>
    <row r="5" customFormat="false" ht="39.75" hidden="false" customHeight="true" outlineLevel="0" collapsed="false">
      <c r="A5" s="1"/>
      <c r="B5" s="6"/>
      <c r="C5" s="1"/>
      <c r="D5" s="1"/>
      <c r="E5" s="1"/>
      <c r="F5" s="1"/>
      <c r="G5" s="1"/>
      <c r="H5" s="1"/>
      <c r="I5" s="1"/>
      <c r="J5" s="1"/>
      <c r="K5" s="1"/>
      <c r="L5" s="1"/>
      <c r="M5" s="1"/>
      <c r="N5" s="1"/>
      <c r="O5" s="7"/>
      <c r="P5" s="1"/>
      <c r="Q5" s="1"/>
      <c r="R5" s="1"/>
      <c r="S5" s="1"/>
      <c r="T5" s="1"/>
      <c r="U5" s="1"/>
      <c r="V5" s="1"/>
      <c r="W5" s="2"/>
      <c r="X5" s="2"/>
      <c r="Y5" s="2"/>
      <c r="Z5" s="2"/>
    </row>
    <row r="6" customFormat="false" ht="39.75" hidden="false" customHeight="true" outlineLevel="0" collapsed="false">
      <c r="A6" s="1"/>
      <c r="B6" s="6"/>
      <c r="C6" s="1"/>
      <c r="D6" s="1"/>
      <c r="E6" s="1"/>
      <c r="F6" s="9"/>
      <c r="G6" s="1"/>
      <c r="H6" s="1"/>
      <c r="I6" s="1"/>
      <c r="J6" s="1"/>
      <c r="K6" s="1"/>
      <c r="L6" s="1"/>
      <c r="M6" s="1"/>
      <c r="N6" s="1"/>
      <c r="O6" s="7"/>
      <c r="P6" s="1"/>
      <c r="Q6" s="1"/>
      <c r="R6" s="1"/>
      <c r="S6" s="1"/>
      <c r="T6" s="1"/>
      <c r="U6" s="1"/>
      <c r="V6" s="1"/>
      <c r="W6" s="2"/>
      <c r="X6" s="2"/>
      <c r="Y6" s="2"/>
      <c r="Z6" s="2"/>
    </row>
    <row r="7" customFormat="false" ht="39.75" hidden="false" customHeight="true" outlineLevel="0" collapsed="false">
      <c r="A7" s="1"/>
      <c r="B7" s="10" t="s">
        <v>0</v>
      </c>
      <c r="C7" s="10"/>
      <c r="D7" s="10"/>
      <c r="E7" s="10"/>
      <c r="F7" s="10"/>
      <c r="G7" s="10"/>
      <c r="H7" s="10"/>
      <c r="I7" s="10"/>
      <c r="J7" s="10"/>
      <c r="K7" s="10"/>
      <c r="L7" s="10"/>
      <c r="M7" s="10"/>
      <c r="N7" s="10"/>
      <c r="O7" s="10"/>
      <c r="P7" s="1"/>
      <c r="Q7" s="1"/>
      <c r="R7" s="1"/>
      <c r="S7" s="1"/>
      <c r="T7" s="1"/>
      <c r="U7" s="1"/>
      <c r="V7" s="1"/>
      <c r="W7" s="2"/>
      <c r="X7" s="2"/>
      <c r="Y7" s="2"/>
      <c r="Z7" s="2"/>
    </row>
    <row r="8" customFormat="false" ht="39.75" hidden="false" customHeight="true" outlineLevel="0" collapsed="false">
      <c r="A8" s="1"/>
      <c r="B8" s="11"/>
      <c r="C8" s="12"/>
      <c r="D8" s="12"/>
      <c r="E8" s="12"/>
      <c r="F8" s="12"/>
      <c r="G8" s="12"/>
      <c r="H8" s="12"/>
      <c r="I8" s="12"/>
      <c r="J8" s="12"/>
      <c r="K8" s="12"/>
      <c r="L8" s="12"/>
      <c r="M8" s="12"/>
      <c r="N8" s="12"/>
      <c r="O8" s="13"/>
      <c r="P8" s="1"/>
      <c r="Q8" s="1"/>
      <c r="R8" s="1"/>
      <c r="S8" s="1"/>
      <c r="T8" s="1"/>
      <c r="U8" s="1"/>
      <c r="V8" s="1"/>
      <c r="W8" s="2"/>
      <c r="X8" s="2"/>
      <c r="Y8" s="2"/>
      <c r="Z8" s="2"/>
    </row>
    <row r="9" customFormat="false" ht="39.75" hidden="false" customHeight="true" outlineLevel="0" collapsed="false">
      <c r="A9" s="1"/>
      <c r="B9" s="14" t="s">
        <v>1</v>
      </c>
      <c r="C9" s="14"/>
      <c r="D9" s="14"/>
      <c r="E9" s="14"/>
      <c r="F9" s="14"/>
      <c r="G9" s="14"/>
      <c r="H9" s="14"/>
      <c r="I9" s="14"/>
      <c r="J9" s="14"/>
      <c r="K9" s="14"/>
      <c r="L9" s="14"/>
      <c r="M9" s="14"/>
      <c r="N9" s="14"/>
      <c r="O9" s="14"/>
      <c r="P9" s="1"/>
      <c r="Q9" s="1"/>
      <c r="R9" s="1"/>
      <c r="S9" s="1"/>
      <c r="T9" s="1"/>
      <c r="U9" s="1"/>
      <c r="V9" s="1"/>
      <c r="W9" s="1"/>
      <c r="X9" s="1"/>
      <c r="Y9" s="1"/>
      <c r="Z9" s="1"/>
    </row>
    <row r="10" customFormat="false" ht="39.75" hidden="false" customHeight="true" outlineLevel="0" collapsed="false">
      <c r="A10" s="1"/>
      <c r="B10" s="6"/>
      <c r="C10" s="1"/>
      <c r="D10" s="1"/>
      <c r="E10" s="1"/>
      <c r="F10" s="1"/>
      <c r="G10" s="1"/>
      <c r="H10" s="1"/>
      <c r="I10" s="1"/>
      <c r="J10" s="1"/>
      <c r="K10" s="1"/>
      <c r="L10" s="1"/>
      <c r="M10" s="1"/>
      <c r="N10" s="1"/>
      <c r="O10" s="7"/>
      <c r="P10" s="1"/>
      <c r="Q10" s="1"/>
      <c r="R10" s="1"/>
      <c r="S10" s="1"/>
      <c r="T10" s="1"/>
      <c r="U10" s="1"/>
      <c r="V10" s="1"/>
      <c r="W10" s="1"/>
      <c r="X10" s="1"/>
      <c r="Y10" s="1"/>
      <c r="Z10" s="1"/>
    </row>
    <row r="11" customFormat="false" ht="39.75" hidden="false" customHeight="true" outlineLevel="0" collapsed="false">
      <c r="A11" s="1"/>
      <c r="B11" s="6"/>
      <c r="C11" s="1"/>
      <c r="D11" s="1"/>
      <c r="E11" s="1"/>
      <c r="F11" s="15" t="s">
        <v>2</v>
      </c>
      <c r="G11" s="15"/>
      <c r="H11" s="15"/>
      <c r="I11" s="16" t="s">
        <v>3</v>
      </c>
      <c r="J11" s="16"/>
      <c r="K11" s="16"/>
      <c r="L11" s="16"/>
      <c r="M11" s="1"/>
      <c r="N11" s="1"/>
      <c r="O11" s="7"/>
      <c r="P11" s="1"/>
      <c r="Q11" s="1"/>
      <c r="R11" s="1"/>
      <c r="S11" s="1"/>
      <c r="T11" s="1"/>
      <c r="U11" s="1"/>
      <c r="V11" s="1"/>
      <c r="W11" s="1"/>
      <c r="X11" s="1"/>
      <c r="Y11" s="1"/>
      <c r="Z11" s="1"/>
    </row>
    <row r="12" customFormat="false" ht="39.75" hidden="false" customHeight="true" outlineLevel="0" collapsed="false">
      <c r="A12" s="1"/>
      <c r="B12" s="6"/>
      <c r="C12" s="1"/>
      <c r="D12" s="1"/>
      <c r="E12" s="1"/>
      <c r="F12" s="15" t="s">
        <v>4</v>
      </c>
      <c r="G12" s="15"/>
      <c r="H12" s="15"/>
      <c r="I12" s="17" t="s">
        <v>5</v>
      </c>
      <c r="J12" s="17"/>
      <c r="K12" s="17"/>
      <c r="L12" s="17"/>
      <c r="M12" s="1"/>
      <c r="N12" s="1"/>
      <c r="O12" s="7"/>
      <c r="P12" s="1"/>
      <c r="Q12" s="1"/>
      <c r="R12" s="1"/>
      <c r="S12" s="1"/>
      <c r="T12" s="1"/>
      <c r="U12" s="1"/>
      <c r="V12" s="1"/>
      <c r="W12" s="1"/>
      <c r="X12" s="1"/>
      <c r="Y12" s="1"/>
      <c r="Z12" s="1"/>
    </row>
    <row r="13" customFormat="false" ht="39.75" hidden="false" customHeight="true" outlineLevel="0" collapsed="false">
      <c r="A13" s="1"/>
      <c r="B13" s="6"/>
      <c r="C13" s="1"/>
      <c r="D13" s="1"/>
      <c r="E13" s="1"/>
      <c r="F13" s="2"/>
      <c r="G13" s="2"/>
      <c r="H13" s="2"/>
      <c r="I13" s="2"/>
      <c r="J13" s="2"/>
      <c r="K13" s="2"/>
      <c r="L13" s="1"/>
      <c r="M13" s="1"/>
      <c r="N13" s="1"/>
      <c r="O13" s="7"/>
      <c r="P13" s="1"/>
      <c r="Q13" s="1"/>
      <c r="R13" s="1"/>
      <c r="S13" s="1"/>
      <c r="T13" s="1"/>
      <c r="U13" s="1"/>
      <c r="V13" s="18"/>
      <c r="W13" s="1"/>
      <c r="X13" s="1"/>
      <c r="Y13" s="1"/>
      <c r="Z13" s="1"/>
    </row>
    <row r="14" customFormat="false" ht="39.75" hidden="false" customHeight="true" outlineLevel="0" collapsed="false">
      <c r="A14" s="1"/>
      <c r="B14" s="19"/>
      <c r="C14" s="20"/>
      <c r="D14" s="20"/>
      <c r="E14" s="20"/>
      <c r="F14" s="20"/>
      <c r="G14" s="20"/>
      <c r="H14" s="20"/>
      <c r="I14" s="20"/>
      <c r="J14" s="20"/>
      <c r="K14" s="20"/>
      <c r="L14" s="20"/>
      <c r="M14" s="20"/>
      <c r="N14" s="20"/>
      <c r="O14" s="21"/>
      <c r="P14" s="1"/>
      <c r="Q14" s="1"/>
      <c r="R14" s="1"/>
      <c r="S14" s="1"/>
      <c r="T14" s="1"/>
      <c r="U14" s="1"/>
      <c r="V14" s="1"/>
      <c r="W14" s="1"/>
      <c r="X14" s="1"/>
      <c r="Y14" s="1"/>
      <c r="Z14" s="1"/>
    </row>
    <row r="15" customFormat="false" ht="39.75" hidden="false" customHeight="true" outlineLevel="0" collapsed="false">
      <c r="A15" s="1"/>
      <c r="B15" s="1"/>
      <c r="C15" s="1"/>
      <c r="D15" s="1"/>
      <c r="E15" s="1"/>
      <c r="F15" s="1"/>
      <c r="G15" s="1"/>
      <c r="H15" s="1"/>
      <c r="I15" s="1"/>
      <c r="J15" s="1"/>
      <c r="K15" s="1"/>
      <c r="L15" s="1"/>
      <c r="M15" s="1"/>
      <c r="N15" s="1"/>
      <c r="O15" s="1"/>
      <c r="P15" s="1"/>
      <c r="Q15" s="1"/>
      <c r="R15" s="1"/>
      <c r="S15" s="1"/>
      <c r="T15" s="1"/>
      <c r="U15" s="1"/>
      <c r="V15" s="1"/>
      <c r="W15" s="1"/>
      <c r="X15" s="1"/>
      <c r="Y15" s="1"/>
      <c r="Z15" s="1"/>
    </row>
    <row r="16" customFormat="false" ht="39.75" hidden="false" customHeight="true" outlineLevel="0" collapsed="false">
      <c r="A16" s="1"/>
      <c r="B16" s="1"/>
      <c r="C16" s="1"/>
      <c r="D16" s="1"/>
      <c r="E16" s="1"/>
      <c r="F16" s="1"/>
      <c r="G16" s="1"/>
      <c r="H16" s="1"/>
      <c r="I16" s="1"/>
      <c r="J16" s="1"/>
      <c r="K16" s="1"/>
      <c r="L16" s="1"/>
      <c r="M16" s="1"/>
      <c r="N16" s="1"/>
      <c r="O16" s="1"/>
      <c r="P16" s="1"/>
      <c r="Q16" s="1"/>
      <c r="R16" s="1"/>
      <c r="S16" s="1"/>
      <c r="T16" s="1"/>
      <c r="U16" s="1"/>
      <c r="V16" s="1"/>
      <c r="W16" s="1"/>
      <c r="X16" s="1"/>
      <c r="Y16" s="1"/>
      <c r="Z16" s="1"/>
    </row>
    <row r="17" customFormat="false" ht="39.75" hidden="false" customHeight="true" outlineLevel="0" collapsed="false">
      <c r="A17" s="1"/>
      <c r="B17" s="1"/>
      <c r="C17" s="1"/>
      <c r="D17" s="1"/>
      <c r="E17" s="1"/>
      <c r="F17" s="1"/>
      <c r="G17" s="1"/>
      <c r="H17" s="1"/>
      <c r="I17" s="1"/>
      <c r="J17" s="1"/>
      <c r="K17" s="1"/>
      <c r="L17" s="1"/>
      <c r="M17" s="1"/>
      <c r="N17" s="1"/>
      <c r="O17" s="1"/>
      <c r="P17" s="1"/>
      <c r="Q17" s="1"/>
      <c r="R17" s="1"/>
      <c r="S17" s="1"/>
      <c r="T17" s="1"/>
      <c r="U17" s="1"/>
      <c r="V17" s="1"/>
      <c r="W17" s="1"/>
      <c r="X17" s="1"/>
      <c r="Y17" s="1"/>
      <c r="Z17" s="1"/>
    </row>
    <row r="18" customFormat="false" ht="39.75" hidden="false" customHeight="true" outlineLevel="0" collapsed="false">
      <c r="A18" s="1"/>
      <c r="B18" s="1"/>
      <c r="C18" s="1"/>
      <c r="D18" s="1"/>
      <c r="E18" s="1"/>
      <c r="F18" s="1"/>
      <c r="G18" s="1"/>
      <c r="H18" s="1"/>
      <c r="I18" s="1"/>
      <c r="J18" s="1"/>
      <c r="K18" s="1"/>
      <c r="L18" s="1"/>
      <c r="M18" s="1"/>
      <c r="N18" s="1"/>
      <c r="O18" s="1"/>
      <c r="P18" s="1"/>
      <c r="Q18" s="1"/>
      <c r="R18" s="1"/>
      <c r="S18" s="1"/>
      <c r="T18" s="1"/>
      <c r="U18" s="1"/>
      <c r="V18" s="1"/>
      <c r="W18" s="1"/>
      <c r="X18" s="1"/>
      <c r="Y18" s="1"/>
      <c r="Z18" s="1"/>
    </row>
    <row r="19" customFormat="false" ht="39.75" hidden="false" customHeight="true" outlineLevel="0" collapsed="false">
      <c r="A19" s="1"/>
      <c r="B19" s="1"/>
      <c r="C19" s="1"/>
      <c r="D19" s="1"/>
      <c r="E19" s="1"/>
      <c r="F19" s="1"/>
      <c r="G19" s="1"/>
      <c r="H19" s="1"/>
      <c r="I19" s="1"/>
      <c r="J19" s="1"/>
      <c r="K19" s="1"/>
      <c r="L19" s="1"/>
      <c r="M19" s="1"/>
      <c r="N19" s="1"/>
      <c r="O19" s="1"/>
      <c r="P19" s="1"/>
      <c r="Q19" s="1"/>
      <c r="R19" s="1"/>
      <c r="S19" s="1"/>
      <c r="T19" s="1"/>
      <c r="U19" s="1"/>
      <c r="V19" s="1"/>
      <c r="W19" s="1"/>
      <c r="X19" s="1"/>
      <c r="Y19" s="1"/>
      <c r="Z19" s="1"/>
    </row>
    <row r="20" customFormat="false" ht="39.75" hidden="false" customHeight="true" outlineLevel="0" collapsed="false">
      <c r="A20" s="1"/>
      <c r="B20" s="1"/>
      <c r="C20" s="1"/>
      <c r="D20" s="1"/>
      <c r="E20" s="1"/>
      <c r="F20" s="1"/>
      <c r="G20" s="1"/>
      <c r="H20" s="1"/>
      <c r="I20" s="1"/>
      <c r="J20" s="1"/>
      <c r="K20" s="1"/>
      <c r="L20" s="1"/>
      <c r="M20" s="1"/>
      <c r="N20" s="1"/>
      <c r="O20" s="1"/>
      <c r="P20" s="1"/>
      <c r="Q20" s="1"/>
      <c r="R20" s="1"/>
      <c r="S20" s="1"/>
      <c r="T20" s="1"/>
      <c r="U20" s="1"/>
      <c r="V20" s="1"/>
      <c r="W20" s="1"/>
      <c r="X20" s="1"/>
      <c r="Y20" s="1"/>
      <c r="Z20" s="1"/>
    </row>
    <row r="21" customFormat="false" ht="39.75" hidden="false" customHeight="true" outlineLevel="0" collapsed="false">
      <c r="A21" s="1"/>
      <c r="B21" s="1"/>
      <c r="C21" s="1"/>
      <c r="D21" s="1"/>
      <c r="E21" s="1"/>
      <c r="F21" s="1"/>
      <c r="G21" s="1"/>
      <c r="H21" s="1"/>
      <c r="I21" s="1"/>
      <c r="J21" s="1"/>
      <c r="K21" s="1"/>
      <c r="L21" s="1"/>
      <c r="M21" s="1"/>
      <c r="N21" s="1"/>
      <c r="O21" s="1"/>
      <c r="P21" s="1"/>
      <c r="Q21" s="1"/>
      <c r="R21" s="1"/>
      <c r="S21" s="1"/>
      <c r="T21" s="1"/>
      <c r="U21" s="1"/>
      <c r="V21" s="1"/>
      <c r="W21" s="1"/>
      <c r="X21" s="1"/>
      <c r="Y21" s="1"/>
      <c r="Z21" s="1"/>
    </row>
    <row r="22" customFormat="false" ht="39.75" hidden="false" customHeight="true" outlineLevel="0" collapsed="false">
      <c r="A22" s="1"/>
      <c r="B22" s="1"/>
      <c r="C22" s="1"/>
      <c r="D22" s="1"/>
      <c r="E22" s="1"/>
      <c r="F22" s="1"/>
      <c r="G22" s="1"/>
      <c r="H22" s="1"/>
      <c r="I22" s="1"/>
      <c r="J22" s="1"/>
      <c r="K22" s="1"/>
      <c r="L22" s="1"/>
      <c r="M22" s="1"/>
      <c r="N22" s="1"/>
      <c r="O22" s="1"/>
      <c r="P22" s="1"/>
      <c r="Q22" s="1"/>
      <c r="R22" s="1"/>
      <c r="S22" s="1"/>
      <c r="T22" s="1"/>
      <c r="U22" s="1"/>
      <c r="V22" s="1"/>
      <c r="W22" s="1"/>
      <c r="X22" s="1"/>
      <c r="Y22" s="1"/>
      <c r="Z22" s="1"/>
    </row>
    <row r="23" customFormat="false" ht="39.75" hidden="false" customHeight="true" outlineLevel="0" collapsed="false">
      <c r="A23" s="1"/>
      <c r="B23" s="1"/>
      <c r="C23" s="1"/>
      <c r="D23" s="1"/>
      <c r="E23" s="1"/>
      <c r="F23" s="1"/>
      <c r="G23" s="1"/>
      <c r="H23" s="1"/>
      <c r="I23" s="1"/>
      <c r="J23" s="1"/>
      <c r="K23" s="1"/>
      <c r="L23" s="1"/>
      <c r="M23" s="1"/>
      <c r="N23" s="1"/>
      <c r="O23" s="1"/>
      <c r="P23" s="1"/>
      <c r="Q23" s="1"/>
      <c r="R23" s="1"/>
      <c r="S23" s="1"/>
      <c r="T23" s="1"/>
      <c r="U23" s="1"/>
      <c r="V23" s="1"/>
      <c r="W23" s="1"/>
      <c r="X23" s="1"/>
      <c r="Y23" s="1"/>
      <c r="Z23" s="1"/>
    </row>
    <row r="24" customFormat="false" ht="39.75" hidden="false" customHeight="true" outlineLevel="0" collapsed="false">
      <c r="A24" s="1"/>
      <c r="B24" s="1"/>
      <c r="C24" s="1"/>
      <c r="D24" s="1"/>
      <c r="E24" s="1"/>
      <c r="F24" s="1"/>
      <c r="G24" s="1"/>
      <c r="H24" s="1"/>
      <c r="I24" s="1"/>
      <c r="J24" s="1"/>
      <c r="K24" s="1"/>
      <c r="L24" s="1"/>
      <c r="M24" s="1"/>
      <c r="N24" s="1"/>
      <c r="O24" s="1"/>
      <c r="P24" s="1"/>
      <c r="Q24" s="1"/>
      <c r="R24" s="1"/>
      <c r="S24" s="1"/>
      <c r="T24" s="1"/>
      <c r="U24" s="1"/>
      <c r="V24" s="1"/>
      <c r="W24" s="1"/>
      <c r="X24" s="1"/>
      <c r="Y24" s="1"/>
      <c r="Z24" s="1"/>
    </row>
    <row r="25" customFormat="false" ht="39.75" hidden="false" customHeight="true" outlineLevel="0" collapsed="false">
      <c r="A25" s="1"/>
      <c r="B25" s="1"/>
      <c r="C25" s="1"/>
      <c r="D25" s="1"/>
      <c r="E25" s="1"/>
      <c r="F25" s="1"/>
      <c r="G25" s="1"/>
      <c r="H25" s="1"/>
      <c r="I25" s="1"/>
      <c r="J25" s="1"/>
      <c r="K25" s="1"/>
      <c r="L25" s="1"/>
      <c r="M25" s="1"/>
      <c r="N25" s="1"/>
      <c r="O25" s="1"/>
      <c r="P25" s="1"/>
      <c r="Q25" s="1"/>
      <c r="R25" s="1"/>
      <c r="S25" s="1"/>
      <c r="T25" s="1"/>
      <c r="U25" s="1"/>
      <c r="V25" s="1"/>
      <c r="W25" s="1"/>
      <c r="X25" s="1"/>
      <c r="Y25" s="1"/>
      <c r="Z25" s="1"/>
    </row>
    <row r="26" customFormat="false" ht="39.75" hidden="false" customHeight="true" outlineLevel="0" collapsed="false">
      <c r="A26" s="1"/>
      <c r="B26" s="1"/>
      <c r="C26" s="1"/>
      <c r="D26" s="1"/>
      <c r="E26" s="1"/>
      <c r="F26" s="1"/>
      <c r="G26" s="1"/>
      <c r="H26" s="1"/>
      <c r="I26" s="1"/>
      <c r="J26" s="1"/>
      <c r="K26" s="1"/>
      <c r="L26" s="1"/>
      <c r="M26" s="1"/>
      <c r="N26" s="1"/>
      <c r="O26" s="1"/>
      <c r="P26" s="1"/>
      <c r="Q26" s="1"/>
      <c r="R26" s="1"/>
      <c r="S26" s="1"/>
      <c r="T26" s="1"/>
      <c r="U26" s="1"/>
      <c r="V26" s="1"/>
      <c r="W26" s="1"/>
      <c r="X26" s="1"/>
      <c r="Y26" s="1"/>
      <c r="Z26" s="1"/>
    </row>
    <row r="27" customFormat="false" ht="39.75" hidden="false" customHeight="true" outlineLevel="0" collapsed="false">
      <c r="A27" s="1"/>
      <c r="B27" s="1"/>
      <c r="C27" s="1"/>
      <c r="D27" s="1"/>
      <c r="E27" s="1"/>
      <c r="F27" s="1"/>
      <c r="G27" s="1"/>
      <c r="H27" s="1"/>
      <c r="I27" s="1"/>
      <c r="J27" s="1"/>
      <c r="K27" s="1"/>
      <c r="L27" s="1"/>
      <c r="M27" s="1"/>
      <c r="N27" s="1"/>
      <c r="O27" s="1"/>
      <c r="P27" s="1"/>
      <c r="Q27" s="1"/>
      <c r="R27" s="1"/>
      <c r="S27" s="1"/>
      <c r="T27" s="1"/>
      <c r="U27" s="1"/>
      <c r="V27" s="1"/>
      <c r="W27" s="1"/>
      <c r="X27" s="1"/>
      <c r="Y27" s="1"/>
      <c r="Z27" s="1"/>
    </row>
    <row r="28" customFormat="false" ht="39.75" hidden="false" customHeight="true" outlineLevel="0" collapsed="false">
      <c r="A28" s="1"/>
      <c r="B28" s="1"/>
      <c r="C28" s="1"/>
      <c r="D28" s="1"/>
      <c r="E28" s="1"/>
      <c r="F28" s="1"/>
      <c r="G28" s="1"/>
      <c r="H28" s="1"/>
      <c r="I28" s="1"/>
      <c r="J28" s="1"/>
      <c r="K28" s="1"/>
      <c r="L28" s="1"/>
      <c r="M28" s="1"/>
      <c r="N28" s="1"/>
      <c r="O28" s="1"/>
      <c r="P28" s="1"/>
      <c r="Q28" s="1"/>
      <c r="R28" s="1"/>
      <c r="S28" s="1"/>
      <c r="T28" s="1"/>
      <c r="U28" s="1"/>
      <c r="V28" s="1"/>
      <c r="W28" s="1"/>
      <c r="X28" s="1"/>
      <c r="Y28" s="1"/>
      <c r="Z28" s="1"/>
    </row>
    <row r="29" customFormat="false" ht="39.75" hidden="false" customHeight="true" outlineLevel="0" collapsed="false">
      <c r="A29" s="1"/>
      <c r="B29" s="1"/>
      <c r="C29" s="1"/>
      <c r="D29" s="1"/>
      <c r="E29" s="1"/>
      <c r="F29" s="1"/>
      <c r="G29" s="1"/>
      <c r="H29" s="1"/>
      <c r="I29" s="1"/>
      <c r="J29" s="1"/>
      <c r="K29" s="1"/>
      <c r="L29" s="1"/>
      <c r="M29" s="1"/>
      <c r="N29" s="1"/>
      <c r="O29" s="1"/>
      <c r="P29" s="1"/>
      <c r="Q29" s="1"/>
      <c r="R29" s="1"/>
      <c r="S29" s="1"/>
      <c r="T29" s="1"/>
      <c r="U29" s="1"/>
      <c r="V29" s="1"/>
      <c r="W29" s="1"/>
      <c r="X29" s="1"/>
      <c r="Y29" s="1"/>
      <c r="Z29" s="1"/>
    </row>
    <row r="30" customFormat="false" ht="39.75" hidden="false" customHeight="true" outlineLevel="0" collapsed="false">
      <c r="A30" s="1"/>
      <c r="B30" s="1"/>
      <c r="C30" s="1"/>
      <c r="D30" s="1"/>
      <c r="E30" s="1"/>
      <c r="F30" s="1"/>
      <c r="G30" s="1"/>
      <c r="H30" s="1"/>
      <c r="I30" s="1"/>
      <c r="J30" s="1"/>
      <c r="K30" s="1"/>
      <c r="L30" s="1"/>
      <c r="M30" s="1"/>
      <c r="N30" s="1"/>
      <c r="O30" s="1"/>
      <c r="P30" s="1"/>
      <c r="Q30" s="1"/>
      <c r="R30" s="1"/>
      <c r="S30" s="1"/>
      <c r="T30" s="1"/>
      <c r="U30" s="1"/>
      <c r="V30" s="1"/>
      <c r="W30" s="1"/>
      <c r="X30" s="1"/>
      <c r="Y30" s="1"/>
      <c r="Z30" s="1"/>
    </row>
    <row r="31" customFormat="false" ht="39.75" hidden="false" customHeight="true" outlineLevel="0" collapsed="false">
      <c r="A31" s="1"/>
      <c r="B31" s="1"/>
      <c r="C31" s="1"/>
      <c r="D31" s="1"/>
      <c r="E31" s="1"/>
      <c r="F31" s="1"/>
      <c r="G31" s="1"/>
      <c r="H31" s="1"/>
      <c r="I31" s="1"/>
      <c r="J31" s="1"/>
      <c r="K31" s="1"/>
      <c r="L31" s="1"/>
      <c r="M31" s="1"/>
      <c r="N31" s="1"/>
      <c r="O31" s="1"/>
      <c r="P31" s="1"/>
      <c r="Q31" s="1"/>
      <c r="R31" s="1"/>
      <c r="S31" s="1"/>
      <c r="T31" s="1"/>
      <c r="U31" s="1"/>
      <c r="V31" s="1"/>
      <c r="W31" s="1"/>
      <c r="X31" s="1"/>
      <c r="Y31" s="1"/>
      <c r="Z31" s="1"/>
    </row>
    <row r="32" customFormat="false" ht="39.75" hidden="false" customHeight="true" outlineLevel="0" collapsed="false">
      <c r="A32" s="1"/>
      <c r="B32" s="1"/>
      <c r="C32" s="1"/>
      <c r="D32" s="1"/>
      <c r="E32" s="1"/>
      <c r="F32" s="1"/>
      <c r="G32" s="1"/>
      <c r="H32" s="1"/>
      <c r="I32" s="1"/>
      <c r="J32" s="1"/>
      <c r="K32" s="1"/>
      <c r="L32" s="1"/>
      <c r="M32" s="1"/>
      <c r="N32" s="1"/>
      <c r="O32" s="1"/>
      <c r="P32" s="1"/>
      <c r="Q32" s="1"/>
      <c r="R32" s="1"/>
      <c r="S32" s="1"/>
      <c r="T32" s="1"/>
      <c r="U32" s="1"/>
      <c r="V32" s="1"/>
      <c r="W32" s="1"/>
      <c r="X32" s="1"/>
      <c r="Y32" s="1"/>
      <c r="Z32" s="1"/>
    </row>
    <row r="33" customFormat="false" ht="39.75" hidden="false" customHeight="true" outlineLevel="0" collapsed="false">
      <c r="A33" s="1"/>
      <c r="B33" s="1"/>
      <c r="C33" s="1"/>
      <c r="D33" s="1"/>
      <c r="E33" s="1"/>
      <c r="F33" s="1"/>
      <c r="G33" s="1"/>
      <c r="H33" s="1"/>
      <c r="I33" s="1"/>
      <c r="J33" s="1"/>
      <c r="K33" s="1"/>
      <c r="L33" s="1"/>
      <c r="M33" s="1"/>
      <c r="N33" s="1"/>
      <c r="O33" s="1"/>
      <c r="P33" s="1"/>
      <c r="Q33" s="1"/>
      <c r="R33" s="1"/>
      <c r="S33" s="1"/>
      <c r="T33" s="1"/>
      <c r="U33" s="1"/>
      <c r="V33" s="1"/>
      <c r="W33" s="1"/>
      <c r="X33" s="1"/>
      <c r="Y33" s="1"/>
      <c r="Z33" s="1"/>
    </row>
    <row r="34" customFormat="false" ht="39.75" hidden="false" customHeight="true" outlineLevel="0" collapsed="false">
      <c r="A34" s="1"/>
      <c r="B34" s="1"/>
      <c r="C34" s="1"/>
      <c r="D34" s="1"/>
      <c r="E34" s="1"/>
      <c r="F34" s="1"/>
      <c r="G34" s="1"/>
      <c r="H34" s="1"/>
      <c r="I34" s="1"/>
      <c r="J34" s="1"/>
      <c r="K34" s="1"/>
      <c r="L34" s="1"/>
      <c r="M34" s="1"/>
      <c r="N34" s="1"/>
      <c r="O34" s="1"/>
      <c r="P34" s="1"/>
      <c r="Q34" s="1"/>
      <c r="R34" s="1"/>
      <c r="S34" s="1"/>
      <c r="T34" s="1"/>
      <c r="U34" s="1"/>
      <c r="V34" s="1"/>
      <c r="W34" s="1"/>
      <c r="X34" s="1"/>
      <c r="Y34" s="1"/>
      <c r="Z34" s="1"/>
    </row>
    <row r="35" customFormat="false" ht="39.75" hidden="false" customHeight="true" outlineLevel="0" collapsed="false">
      <c r="A35" s="1"/>
      <c r="B35" s="1"/>
      <c r="C35" s="1"/>
      <c r="D35" s="1"/>
      <c r="E35" s="1"/>
      <c r="F35" s="1"/>
      <c r="G35" s="1"/>
      <c r="H35" s="1"/>
      <c r="I35" s="1"/>
      <c r="J35" s="1"/>
      <c r="K35" s="1"/>
      <c r="L35" s="1"/>
      <c r="M35" s="1"/>
      <c r="N35" s="1"/>
      <c r="O35" s="1"/>
      <c r="P35" s="1"/>
      <c r="Q35" s="1"/>
      <c r="R35" s="1"/>
      <c r="S35" s="1"/>
      <c r="T35" s="1"/>
      <c r="U35" s="1"/>
      <c r="V35" s="1"/>
      <c r="W35" s="1"/>
      <c r="X35" s="1"/>
      <c r="Y35" s="1"/>
      <c r="Z35" s="1"/>
    </row>
    <row r="36" customFormat="false" ht="39.75" hidden="false" customHeight="true" outlineLevel="0" collapsed="false">
      <c r="A36" s="1"/>
      <c r="B36" s="1"/>
      <c r="C36" s="1"/>
      <c r="D36" s="1"/>
      <c r="E36" s="1"/>
      <c r="F36" s="1"/>
      <c r="G36" s="1"/>
      <c r="H36" s="1"/>
      <c r="I36" s="1"/>
      <c r="J36" s="1"/>
      <c r="K36" s="1"/>
      <c r="L36" s="1"/>
      <c r="M36" s="1"/>
      <c r="N36" s="1"/>
      <c r="O36" s="1"/>
      <c r="P36" s="1"/>
      <c r="Q36" s="1"/>
      <c r="R36" s="1"/>
      <c r="S36" s="1"/>
      <c r="T36" s="1"/>
      <c r="U36" s="1"/>
      <c r="V36" s="1"/>
      <c r="W36" s="1"/>
      <c r="X36" s="1"/>
      <c r="Y36" s="1"/>
      <c r="Z36" s="1"/>
    </row>
    <row r="37" customFormat="false" ht="39.75" hidden="false" customHeight="true" outlineLevel="0" collapsed="false">
      <c r="A37" s="1"/>
      <c r="B37" s="1"/>
      <c r="C37" s="1"/>
      <c r="D37" s="1"/>
      <c r="E37" s="1"/>
      <c r="F37" s="1"/>
      <c r="G37" s="1"/>
      <c r="H37" s="1"/>
      <c r="I37" s="1"/>
      <c r="J37" s="1"/>
      <c r="K37" s="1"/>
      <c r="L37" s="1"/>
      <c r="M37" s="1"/>
      <c r="N37" s="1"/>
      <c r="O37" s="1"/>
      <c r="P37" s="1"/>
      <c r="Q37" s="1"/>
      <c r="R37" s="1"/>
      <c r="S37" s="1"/>
      <c r="T37" s="1"/>
      <c r="U37" s="1"/>
      <c r="V37" s="1"/>
      <c r="W37" s="1"/>
      <c r="X37" s="1"/>
      <c r="Y37" s="1"/>
      <c r="Z37" s="1"/>
    </row>
    <row r="38" customFormat="false" ht="39.75" hidden="false" customHeight="true" outlineLevel="0" collapsed="false">
      <c r="A38" s="1"/>
      <c r="B38" s="1"/>
      <c r="C38" s="1"/>
      <c r="D38" s="1"/>
      <c r="E38" s="1"/>
      <c r="F38" s="1"/>
      <c r="G38" s="1"/>
      <c r="H38" s="1"/>
      <c r="I38" s="1"/>
      <c r="J38" s="1"/>
      <c r="K38" s="1"/>
      <c r="L38" s="1"/>
      <c r="M38" s="1"/>
      <c r="N38" s="1"/>
      <c r="O38" s="1"/>
      <c r="P38" s="1"/>
      <c r="Q38" s="1"/>
      <c r="R38" s="1"/>
      <c r="S38" s="1"/>
      <c r="T38" s="1"/>
      <c r="U38" s="1"/>
      <c r="V38" s="1"/>
      <c r="W38" s="1"/>
      <c r="X38" s="1"/>
      <c r="Y38" s="1"/>
      <c r="Z38" s="1"/>
    </row>
    <row r="39" customFormat="false" ht="39.75" hidden="false" customHeight="true" outlineLevel="0" collapsed="false">
      <c r="A39" s="1"/>
      <c r="B39" s="1"/>
      <c r="C39" s="1"/>
      <c r="D39" s="1"/>
      <c r="E39" s="1"/>
      <c r="F39" s="1"/>
      <c r="G39" s="1"/>
      <c r="H39" s="1"/>
      <c r="I39" s="1"/>
      <c r="J39" s="1"/>
      <c r="K39" s="1"/>
      <c r="L39" s="1"/>
      <c r="M39" s="1"/>
      <c r="N39" s="1"/>
      <c r="O39" s="1"/>
      <c r="P39" s="1"/>
      <c r="Q39" s="1"/>
      <c r="R39" s="1"/>
      <c r="S39" s="1"/>
      <c r="T39" s="1"/>
      <c r="U39" s="1"/>
      <c r="V39" s="1"/>
      <c r="W39" s="1"/>
      <c r="X39" s="1"/>
      <c r="Y39" s="1"/>
      <c r="Z39" s="1"/>
    </row>
    <row r="40" customFormat="false" ht="39.75" hidden="false" customHeight="true" outlineLevel="0" collapsed="false">
      <c r="A40" s="1"/>
      <c r="B40" s="1"/>
      <c r="C40" s="1"/>
      <c r="D40" s="1"/>
      <c r="E40" s="1"/>
      <c r="F40" s="1"/>
      <c r="G40" s="1"/>
      <c r="H40" s="1"/>
      <c r="I40" s="1"/>
      <c r="J40" s="1"/>
      <c r="K40" s="1"/>
      <c r="L40" s="1"/>
      <c r="M40" s="1"/>
      <c r="N40" s="1"/>
      <c r="O40" s="1"/>
      <c r="P40" s="1"/>
      <c r="Q40" s="1"/>
      <c r="R40" s="1"/>
      <c r="S40" s="1"/>
      <c r="T40" s="1"/>
      <c r="U40" s="1"/>
      <c r="V40" s="1"/>
      <c r="W40" s="1"/>
      <c r="X40" s="1"/>
      <c r="Y40" s="1"/>
      <c r="Z40" s="1"/>
    </row>
    <row r="41" customFormat="false" ht="39.75" hidden="false" customHeight="true" outlineLevel="0" collapsed="false">
      <c r="A41" s="1"/>
      <c r="B41" s="1"/>
      <c r="C41" s="1"/>
      <c r="D41" s="1"/>
      <c r="E41" s="1"/>
      <c r="F41" s="1"/>
      <c r="G41" s="1"/>
      <c r="H41" s="1"/>
      <c r="I41" s="1"/>
      <c r="J41" s="1"/>
      <c r="K41" s="1"/>
      <c r="L41" s="1"/>
      <c r="M41" s="1"/>
      <c r="N41" s="1"/>
      <c r="O41" s="1"/>
      <c r="P41" s="1"/>
      <c r="Q41" s="1"/>
      <c r="R41" s="1"/>
      <c r="S41" s="1"/>
      <c r="T41" s="1"/>
      <c r="U41" s="1"/>
      <c r="V41" s="1"/>
      <c r="W41" s="1"/>
      <c r="X41" s="1"/>
      <c r="Y41" s="1"/>
      <c r="Z41" s="1"/>
    </row>
    <row r="42" customFormat="false" ht="39.75" hidden="false" customHeight="true" outlineLevel="0" collapsed="false">
      <c r="A42" s="1"/>
      <c r="B42" s="1"/>
      <c r="C42" s="1"/>
      <c r="D42" s="1"/>
      <c r="E42" s="1"/>
      <c r="F42" s="1"/>
      <c r="G42" s="1"/>
      <c r="H42" s="1"/>
      <c r="I42" s="1"/>
      <c r="J42" s="1"/>
      <c r="K42" s="1"/>
      <c r="L42" s="1"/>
      <c r="M42" s="1"/>
      <c r="N42" s="1"/>
      <c r="O42" s="1"/>
      <c r="P42" s="1"/>
      <c r="Q42" s="1"/>
      <c r="R42" s="1"/>
      <c r="S42" s="1"/>
      <c r="T42" s="1"/>
      <c r="U42" s="1"/>
      <c r="V42" s="1"/>
      <c r="W42" s="1"/>
      <c r="X42" s="1"/>
      <c r="Y42" s="1"/>
      <c r="Z42" s="1"/>
    </row>
    <row r="43" customFormat="false" ht="39.75" hidden="false" customHeight="true" outlineLevel="0" collapsed="false">
      <c r="A43" s="1"/>
      <c r="B43" s="1"/>
      <c r="C43" s="1"/>
      <c r="D43" s="1"/>
      <c r="E43" s="1"/>
      <c r="F43" s="1"/>
      <c r="G43" s="1"/>
      <c r="H43" s="1"/>
      <c r="I43" s="1"/>
      <c r="J43" s="1"/>
      <c r="K43" s="1"/>
      <c r="L43" s="1"/>
      <c r="M43" s="1"/>
      <c r="N43" s="1"/>
      <c r="O43" s="1"/>
      <c r="P43" s="1"/>
      <c r="Q43" s="1"/>
      <c r="R43" s="1"/>
      <c r="S43" s="1"/>
      <c r="T43" s="1"/>
      <c r="U43" s="1"/>
      <c r="V43" s="1"/>
      <c r="W43" s="1"/>
      <c r="X43" s="1"/>
      <c r="Y43" s="1"/>
      <c r="Z43" s="1"/>
    </row>
    <row r="44" customFormat="false" ht="39.75" hidden="false" customHeight="true" outlineLevel="0" collapsed="false">
      <c r="A44" s="1"/>
      <c r="B44" s="1"/>
      <c r="C44" s="1"/>
      <c r="D44" s="1"/>
      <c r="E44" s="1"/>
      <c r="F44" s="1"/>
      <c r="G44" s="1"/>
      <c r="H44" s="1"/>
      <c r="I44" s="1"/>
      <c r="J44" s="1"/>
      <c r="K44" s="1"/>
      <c r="L44" s="1"/>
      <c r="M44" s="1"/>
      <c r="N44" s="1"/>
      <c r="O44" s="1"/>
      <c r="P44" s="1"/>
      <c r="Q44" s="1"/>
      <c r="R44" s="1"/>
      <c r="S44" s="1"/>
      <c r="T44" s="1"/>
      <c r="U44" s="1"/>
      <c r="V44" s="1"/>
      <c r="W44" s="1"/>
      <c r="X44" s="1"/>
      <c r="Y44" s="1"/>
      <c r="Z44" s="1"/>
    </row>
    <row r="45" customFormat="false" ht="39.75" hidden="false" customHeight="true" outlineLevel="0" collapsed="false">
      <c r="A45" s="1"/>
      <c r="B45" s="1"/>
      <c r="C45" s="1"/>
      <c r="D45" s="1"/>
      <c r="E45" s="1"/>
      <c r="F45" s="1"/>
      <c r="G45" s="1"/>
      <c r="H45" s="1"/>
      <c r="I45" s="1"/>
      <c r="J45" s="1"/>
      <c r="K45" s="1"/>
      <c r="L45" s="1"/>
      <c r="M45" s="1"/>
      <c r="N45" s="1"/>
      <c r="O45" s="1"/>
      <c r="P45" s="1"/>
      <c r="Q45" s="1"/>
      <c r="R45" s="1"/>
      <c r="S45" s="1"/>
      <c r="T45" s="1"/>
      <c r="U45" s="1"/>
      <c r="V45" s="1"/>
      <c r="W45" s="1"/>
      <c r="X45" s="1"/>
      <c r="Y45" s="1"/>
      <c r="Z45" s="1"/>
    </row>
    <row r="46" customFormat="false" ht="39.75"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c r="Z46" s="1"/>
    </row>
    <row r="47" customFormat="false" ht="39.75" hidden="false" customHeight="true" outlineLevel="0" collapsed="false">
      <c r="A47" s="1"/>
      <c r="B47" s="1"/>
      <c r="C47" s="1"/>
      <c r="D47" s="1"/>
      <c r="E47" s="1"/>
      <c r="F47" s="1"/>
      <c r="G47" s="1"/>
      <c r="H47" s="1"/>
      <c r="I47" s="1"/>
      <c r="J47" s="1"/>
      <c r="K47" s="1"/>
      <c r="L47" s="1"/>
      <c r="M47" s="1"/>
      <c r="N47" s="1"/>
      <c r="O47" s="1"/>
      <c r="P47" s="1"/>
      <c r="Q47" s="1"/>
      <c r="R47" s="1"/>
      <c r="S47" s="1"/>
      <c r="T47" s="1"/>
      <c r="U47" s="1"/>
      <c r="V47" s="1"/>
      <c r="W47" s="1"/>
      <c r="X47" s="1"/>
      <c r="Y47" s="1"/>
      <c r="Z47" s="1"/>
    </row>
    <row r="48" customFormat="false" ht="39.75" hidden="false" customHeight="true" outlineLevel="0" collapsed="false">
      <c r="A48" s="1"/>
      <c r="B48" s="1"/>
      <c r="C48" s="1"/>
      <c r="D48" s="1"/>
      <c r="E48" s="1"/>
      <c r="F48" s="1"/>
      <c r="G48" s="1"/>
      <c r="H48" s="1"/>
      <c r="I48" s="1"/>
      <c r="J48" s="1"/>
      <c r="K48" s="1"/>
      <c r="L48" s="1"/>
      <c r="M48" s="1"/>
      <c r="N48" s="1"/>
      <c r="O48" s="1"/>
      <c r="P48" s="1"/>
      <c r="Q48" s="1"/>
      <c r="R48" s="1"/>
      <c r="S48" s="1"/>
      <c r="T48" s="1"/>
      <c r="U48" s="1"/>
      <c r="V48" s="1"/>
      <c r="W48" s="1"/>
      <c r="X48" s="1"/>
      <c r="Y48" s="1"/>
      <c r="Z48" s="1"/>
    </row>
    <row r="49" customFormat="false" ht="39.75" hidden="false" customHeight="true" outlineLevel="0" collapsed="false">
      <c r="A49" s="1"/>
      <c r="B49" s="1"/>
      <c r="C49" s="1"/>
      <c r="D49" s="1"/>
      <c r="E49" s="1"/>
      <c r="F49" s="1"/>
      <c r="G49" s="1"/>
      <c r="H49" s="1"/>
      <c r="I49" s="1"/>
      <c r="J49" s="1"/>
      <c r="K49" s="1"/>
      <c r="L49" s="1"/>
      <c r="M49" s="1"/>
      <c r="N49" s="1"/>
      <c r="O49" s="1"/>
      <c r="P49" s="1"/>
      <c r="Q49" s="1"/>
      <c r="R49" s="1"/>
      <c r="S49" s="1"/>
      <c r="T49" s="1"/>
      <c r="U49" s="1"/>
      <c r="V49" s="1"/>
      <c r="W49" s="1"/>
      <c r="X49" s="1"/>
      <c r="Y49" s="1"/>
      <c r="Z49" s="1"/>
    </row>
    <row r="50" customFormat="false" ht="39.75" hidden="false" customHeight="true" outlineLevel="0" collapsed="false">
      <c r="A50" s="1"/>
      <c r="B50" s="1"/>
      <c r="C50" s="1"/>
      <c r="D50" s="1"/>
      <c r="E50" s="1"/>
      <c r="F50" s="1"/>
      <c r="G50" s="1"/>
      <c r="H50" s="1"/>
      <c r="I50" s="1"/>
      <c r="J50" s="1"/>
      <c r="K50" s="1"/>
      <c r="L50" s="1"/>
      <c r="M50" s="1"/>
      <c r="N50" s="1"/>
      <c r="O50" s="1"/>
      <c r="P50" s="1"/>
      <c r="Q50" s="1"/>
      <c r="R50" s="1"/>
      <c r="S50" s="1"/>
      <c r="T50" s="1"/>
      <c r="U50" s="1"/>
      <c r="V50" s="1"/>
      <c r="W50" s="1"/>
      <c r="X50" s="1"/>
      <c r="Y50" s="1"/>
      <c r="Z50" s="1"/>
    </row>
    <row r="51" customFormat="false" ht="39.75" hidden="false" customHeight="true" outlineLevel="0" collapsed="false">
      <c r="A51" s="1"/>
      <c r="B51" s="1"/>
      <c r="C51" s="1"/>
      <c r="D51" s="1"/>
      <c r="E51" s="1"/>
      <c r="F51" s="1"/>
      <c r="G51" s="1"/>
      <c r="H51" s="1"/>
      <c r="I51" s="1"/>
      <c r="J51" s="1"/>
      <c r="K51" s="1"/>
      <c r="L51" s="1"/>
      <c r="M51" s="1"/>
      <c r="N51" s="1"/>
      <c r="O51" s="1"/>
      <c r="P51" s="1"/>
      <c r="Q51" s="1"/>
      <c r="R51" s="1"/>
      <c r="S51" s="1"/>
      <c r="T51" s="1"/>
      <c r="U51" s="1"/>
      <c r="V51" s="1"/>
      <c r="W51" s="1"/>
      <c r="X51" s="1"/>
      <c r="Y51" s="1"/>
      <c r="Z51" s="1"/>
    </row>
    <row r="52" customFormat="false" ht="39.75" hidden="false" customHeight="true" outlineLevel="0" collapsed="false">
      <c r="A52" s="1"/>
      <c r="B52" s="1"/>
      <c r="C52" s="1"/>
      <c r="D52" s="1"/>
      <c r="E52" s="1"/>
      <c r="F52" s="1"/>
      <c r="G52" s="1"/>
      <c r="H52" s="1"/>
      <c r="I52" s="1"/>
      <c r="J52" s="1"/>
      <c r="K52" s="1"/>
      <c r="L52" s="1"/>
      <c r="M52" s="1"/>
      <c r="N52" s="1"/>
      <c r="O52" s="1"/>
      <c r="P52" s="1"/>
      <c r="Q52" s="1"/>
      <c r="R52" s="1"/>
      <c r="S52" s="1"/>
      <c r="T52" s="1"/>
      <c r="U52" s="1"/>
      <c r="V52" s="1"/>
      <c r="W52" s="1"/>
      <c r="X52" s="1"/>
      <c r="Y52" s="1"/>
      <c r="Z52" s="1"/>
    </row>
    <row r="53" customFormat="false" ht="39.75" hidden="false" customHeight="true" outlineLevel="0" collapsed="false">
      <c r="A53" s="1"/>
      <c r="B53" s="1"/>
      <c r="C53" s="1"/>
      <c r="D53" s="1"/>
      <c r="E53" s="1"/>
      <c r="F53" s="1"/>
      <c r="G53" s="1"/>
      <c r="H53" s="1"/>
      <c r="I53" s="1"/>
      <c r="J53" s="1"/>
      <c r="K53" s="1"/>
      <c r="L53" s="1"/>
      <c r="M53" s="1"/>
      <c r="N53" s="1"/>
      <c r="O53" s="1"/>
      <c r="P53" s="1"/>
      <c r="Q53" s="1"/>
      <c r="R53" s="1"/>
      <c r="S53" s="1"/>
      <c r="T53" s="1"/>
      <c r="U53" s="1"/>
      <c r="V53" s="1"/>
      <c r="W53" s="1"/>
      <c r="X53" s="1"/>
      <c r="Y53" s="1"/>
      <c r="Z53" s="1"/>
    </row>
    <row r="54" customFormat="false" ht="39.75" hidden="false" customHeight="true" outlineLevel="0" collapsed="false">
      <c r="A54" s="1"/>
      <c r="B54" s="1"/>
      <c r="C54" s="1"/>
      <c r="D54" s="1"/>
      <c r="E54" s="1"/>
      <c r="F54" s="1"/>
      <c r="G54" s="1"/>
      <c r="H54" s="1"/>
      <c r="I54" s="1"/>
      <c r="J54" s="1"/>
      <c r="K54" s="1"/>
      <c r="L54" s="1"/>
      <c r="M54" s="1"/>
      <c r="N54" s="1"/>
      <c r="O54" s="1"/>
      <c r="P54" s="1"/>
      <c r="Q54" s="1"/>
      <c r="R54" s="1"/>
      <c r="S54" s="1"/>
      <c r="T54" s="1"/>
      <c r="U54" s="1"/>
      <c r="V54" s="1"/>
      <c r="W54" s="1"/>
      <c r="X54" s="1"/>
      <c r="Y54" s="1"/>
      <c r="Z54" s="1"/>
    </row>
    <row r="55" customFormat="false" ht="39.75" hidden="false" customHeight="true" outlineLevel="0" collapsed="false">
      <c r="A55" s="1"/>
      <c r="B55" s="1"/>
      <c r="C55" s="1"/>
      <c r="D55" s="1"/>
      <c r="E55" s="1"/>
      <c r="F55" s="1"/>
      <c r="G55" s="1"/>
      <c r="H55" s="1"/>
      <c r="I55" s="1"/>
      <c r="J55" s="1"/>
      <c r="K55" s="1"/>
      <c r="L55" s="1"/>
      <c r="M55" s="1"/>
      <c r="N55" s="1"/>
      <c r="O55" s="1"/>
      <c r="P55" s="1"/>
      <c r="Q55" s="1"/>
      <c r="R55" s="1"/>
      <c r="S55" s="1"/>
      <c r="T55" s="1"/>
      <c r="U55" s="1"/>
      <c r="V55" s="1"/>
      <c r="W55" s="1"/>
      <c r="X55" s="1"/>
      <c r="Y55" s="1"/>
      <c r="Z55" s="1"/>
    </row>
    <row r="56" customFormat="false" ht="39.75" hidden="false" customHeight="tru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c r="Z56" s="1"/>
    </row>
    <row r="57" customFormat="false" ht="39.75" hidden="false" customHeight="true" outlineLevel="0" collapsed="false">
      <c r="A57" s="1"/>
      <c r="B57" s="1"/>
      <c r="C57" s="1"/>
      <c r="D57" s="1"/>
      <c r="E57" s="1"/>
      <c r="F57" s="1"/>
      <c r="G57" s="1"/>
      <c r="H57" s="1"/>
      <c r="I57" s="1"/>
      <c r="J57" s="1"/>
      <c r="K57" s="1"/>
      <c r="L57" s="1"/>
      <c r="M57" s="1"/>
      <c r="N57" s="1"/>
      <c r="O57" s="1"/>
      <c r="P57" s="1"/>
      <c r="Q57" s="1"/>
      <c r="R57" s="1"/>
      <c r="S57" s="1"/>
      <c r="T57" s="1"/>
      <c r="U57" s="1"/>
      <c r="V57" s="1"/>
      <c r="W57" s="1"/>
      <c r="X57" s="1"/>
      <c r="Y57" s="1"/>
      <c r="Z57" s="1"/>
    </row>
    <row r="58" customFormat="false" ht="39.75" hidden="false" customHeight="true" outlineLevel="0" collapsed="false">
      <c r="A58" s="1"/>
      <c r="B58" s="1"/>
      <c r="C58" s="1"/>
      <c r="D58" s="1"/>
      <c r="E58" s="1"/>
      <c r="F58" s="1"/>
      <c r="G58" s="1"/>
      <c r="H58" s="1"/>
      <c r="I58" s="1"/>
      <c r="J58" s="1"/>
      <c r="K58" s="1"/>
      <c r="L58" s="1"/>
      <c r="M58" s="1"/>
      <c r="N58" s="1"/>
      <c r="O58" s="1"/>
      <c r="P58" s="1"/>
      <c r="Q58" s="1"/>
      <c r="R58" s="1"/>
      <c r="S58" s="1"/>
      <c r="T58" s="1"/>
      <c r="U58" s="1"/>
      <c r="V58" s="1"/>
      <c r="W58" s="1"/>
      <c r="X58" s="1"/>
      <c r="Y58" s="1"/>
      <c r="Z58" s="1"/>
    </row>
    <row r="59" customFormat="false" ht="39.75" hidden="false" customHeight="true" outlineLevel="0" collapsed="false">
      <c r="A59" s="1"/>
      <c r="B59" s="1"/>
      <c r="C59" s="1"/>
      <c r="D59" s="1"/>
      <c r="E59" s="1"/>
      <c r="F59" s="1"/>
      <c r="G59" s="1"/>
      <c r="H59" s="1"/>
      <c r="I59" s="1"/>
      <c r="J59" s="1"/>
      <c r="K59" s="1"/>
      <c r="L59" s="1"/>
      <c r="M59" s="1"/>
      <c r="N59" s="1"/>
      <c r="O59" s="1"/>
      <c r="P59" s="1"/>
      <c r="Q59" s="1"/>
      <c r="R59" s="1"/>
      <c r="S59" s="1"/>
      <c r="T59" s="1"/>
      <c r="U59" s="1"/>
      <c r="V59" s="1"/>
      <c r="W59" s="1"/>
      <c r="X59" s="1"/>
      <c r="Y59" s="1"/>
      <c r="Z59" s="1"/>
    </row>
    <row r="60" customFormat="false" ht="39.75" hidden="false" customHeight="true" outlineLevel="0" collapsed="false">
      <c r="A60" s="1"/>
      <c r="B60" s="1"/>
      <c r="C60" s="1"/>
      <c r="D60" s="1"/>
      <c r="E60" s="1"/>
      <c r="F60" s="1"/>
      <c r="G60" s="1"/>
      <c r="H60" s="1"/>
      <c r="I60" s="1"/>
      <c r="J60" s="1"/>
      <c r="K60" s="1"/>
      <c r="L60" s="1"/>
      <c r="M60" s="1"/>
      <c r="N60" s="1"/>
      <c r="O60" s="1"/>
      <c r="P60" s="1"/>
      <c r="Q60" s="1"/>
      <c r="R60" s="1"/>
      <c r="S60" s="1"/>
      <c r="T60" s="1"/>
      <c r="U60" s="1"/>
      <c r="V60" s="1"/>
      <c r="W60" s="1"/>
      <c r="X60" s="1"/>
      <c r="Y60" s="1"/>
      <c r="Z60" s="1"/>
    </row>
    <row r="61" customFormat="false" ht="39.75" hidden="false" customHeight="true" outlineLevel="0" collapsed="false">
      <c r="A61" s="1"/>
      <c r="B61" s="1"/>
      <c r="C61" s="1"/>
      <c r="D61" s="1"/>
      <c r="E61" s="1"/>
      <c r="F61" s="1"/>
      <c r="G61" s="1"/>
      <c r="H61" s="1"/>
      <c r="I61" s="1"/>
      <c r="J61" s="1"/>
      <c r="K61" s="1"/>
      <c r="L61" s="1"/>
      <c r="M61" s="1"/>
      <c r="N61" s="1"/>
      <c r="O61" s="1"/>
      <c r="P61" s="1"/>
      <c r="Q61" s="1"/>
      <c r="R61" s="1"/>
      <c r="S61" s="1"/>
      <c r="T61" s="1"/>
      <c r="U61" s="1"/>
      <c r="V61" s="1"/>
      <c r="W61" s="1"/>
      <c r="X61" s="1"/>
      <c r="Y61" s="1"/>
      <c r="Z61" s="1"/>
    </row>
    <row r="62" customFormat="false" ht="39.75" hidden="false" customHeight="true" outlineLevel="0" collapsed="false">
      <c r="A62" s="1"/>
      <c r="B62" s="1"/>
      <c r="C62" s="1"/>
      <c r="D62" s="1"/>
      <c r="E62" s="1"/>
      <c r="F62" s="1"/>
      <c r="G62" s="1"/>
      <c r="H62" s="1"/>
      <c r="I62" s="1"/>
      <c r="J62" s="1"/>
      <c r="K62" s="1"/>
      <c r="L62" s="1"/>
      <c r="M62" s="1"/>
      <c r="N62" s="1"/>
      <c r="O62" s="1"/>
      <c r="P62" s="1"/>
      <c r="Q62" s="1"/>
      <c r="R62" s="1"/>
      <c r="S62" s="1"/>
      <c r="T62" s="1"/>
      <c r="U62" s="1"/>
      <c r="V62" s="1"/>
      <c r="W62" s="1"/>
      <c r="X62" s="1"/>
      <c r="Y62" s="1"/>
      <c r="Z62" s="1"/>
    </row>
    <row r="63" customFormat="false" ht="39.75" hidden="false" customHeight="true" outlineLevel="0" collapsed="false">
      <c r="A63" s="1"/>
      <c r="B63" s="1"/>
      <c r="C63" s="1"/>
      <c r="D63" s="1"/>
      <c r="E63" s="1"/>
      <c r="F63" s="1"/>
      <c r="G63" s="1"/>
      <c r="H63" s="1"/>
      <c r="I63" s="1"/>
      <c r="J63" s="1"/>
      <c r="K63" s="1"/>
      <c r="L63" s="1"/>
      <c r="M63" s="1"/>
      <c r="N63" s="1"/>
      <c r="O63" s="1"/>
      <c r="P63" s="1"/>
      <c r="Q63" s="1"/>
      <c r="R63" s="1"/>
      <c r="S63" s="1"/>
      <c r="T63" s="1"/>
      <c r="U63" s="1"/>
      <c r="V63" s="1"/>
      <c r="W63" s="1"/>
      <c r="X63" s="1"/>
      <c r="Y63" s="1"/>
      <c r="Z63" s="1"/>
    </row>
    <row r="64" customFormat="false" ht="39.75" hidden="false" customHeight="true" outlineLevel="0" collapsed="false">
      <c r="A64" s="1"/>
      <c r="B64" s="1"/>
      <c r="C64" s="1"/>
      <c r="D64" s="1"/>
      <c r="E64" s="1"/>
      <c r="F64" s="1"/>
      <c r="G64" s="1"/>
      <c r="H64" s="1"/>
      <c r="I64" s="1"/>
      <c r="J64" s="1"/>
      <c r="K64" s="1"/>
      <c r="L64" s="1"/>
      <c r="M64" s="1"/>
      <c r="N64" s="1"/>
      <c r="O64" s="1"/>
      <c r="P64" s="1"/>
      <c r="Q64" s="1"/>
      <c r="R64" s="1"/>
      <c r="S64" s="1"/>
      <c r="T64" s="1"/>
      <c r="U64" s="1"/>
      <c r="V64" s="1"/>
      <c r="W64" s="1"/>
      <c r="X64" s="1"/>
      <c r="Y64" s="1"/>
      <c r="Z64" s="1"/>
    </row>
    <row r="65" customFormat="false" ht="39.75" hidden="false" customHeight="true" outlineLevel="0" collapsed="false">
      <c r="A65" s="1"/>
      <c r="B65" s="1"/>
      <c r="C65" s="1"/>
      <c r="D65" s="1"/>
      <c r="E65" s="1"/>
      <c r="F65" s="1"/>
      <c r="G65" s="1"/>
      <c r="H65" s="1"/>
      <c r="I65" s="1"/>
      <c r="J65" s="1"/>
      <c r="K65" s="1"/>
      <c r="L65" s="1"/>
      <c r="M65" s="1"/>
      <c r="N65" s="1"/>
      <c r="O65" s="1"/>
      <c r="P65" s="1"/>
      <c r="Q65" s="1"/>
      <c r="R65" s="1"/>
      <c r="S65" s="1"/>
      <c r="T65" s="1"/>
      <c r="U65" s="1"/>
      <c r="V65" s="1"/>
      <c r="W65" s="1"/>
      <c r="X65" s="1"/>
      <c r="Y65" s="1"/>
      <c r="Z65" s="1"/>
    </row>
    <row r="66" customFormat="false" ht="39.75" hidden="false" customHeight="true" outlineLevel="0" collapsed="false">
      <c r="A66" s="1"/>
      <c r="B66" s="1"/>
      <c r="C66" s="1"/>
      <c r="D66" s="1"/>
      <c r="E66" s="1"/>
      <c r="F66" s="1"/>
      <c r="G66" s="1"/>
      <c r="H66" s="1"/>
      <c r="I66" s="1"/>
      <c r="J66" s="1"/>
      <c r="K66" s="1"/>
      <c r="L66" s="1"/>
      <c r="M66" s="1"/>
      <c r="N66" s="1"/>
      <c r="O66" s="1"/>
      <c r="P66" s="1"/>
      <c r="Q66" s="1"/>
      <c r="R66" s="1"/>
      <c r="S66" s="1"/>
      <c r="T66" s="1"/>
      <c r="U66" s="1"/>
      <c r="V66" s="1"/>
      <c r="W66" s="1"/>
      <c r="X66" s="1"/>
      <c r="Y66" s="1"/>
      <c r="Z66" s="1"/>
    </row>
    <row r="67" customFormat="false" ht="39.75" hidden="false" customHeight="true" outlineLevel="0" collapsed="false">
      <c r="A67" s="1"/>
      <c r="B67" s="1"/>
      <c r="C67" s="1"/>
      <c r="D67" s="1"/>
      <c r="E67" s="1"/>
      <c r="F67" s="1"/>
      <c r="G67" s="1"/>
      <c r="H67" s="1"/>
      <c r="I67" s="1"/>
      <c r="J67" s="1"/>
      <c r="K67" s="1"/>
      <c r="L67" s="1"/>
      <c r="M67" s="1"/>
      <c r="N67" s="1"/>
      <c r="O67" s="1"/>
      <c r="P67" s="1"/>
      <c r="Q67" s="1"/>
      <c r="R67" s="1"/>
      <c r="S67" s="1"/>
      <c r="T67" s="1"/>
      <c r="U67" s="1"/>
      <c r="V67" s="1"/>
      <c r="W67" s="1"/>
      <c r="X67" s="1"/>
      <c r="Y67" s="1"/>
      <c r="Z67" s="1"/>
    </row>
    <row r="68" customFormat="false" ht="39.75" hidden="false" customHeight="true" outlineLevel="0" collapsed="false">
      <c r="A68" s="1"/>
      <c r="B68" s="1"/>
      <c r="C68" s="1"/>
      <c r="D68" s="1"/>
      <c r="E68" s="1"/>
      <c r="F68" s="1"/>
      <c r="G68" s="1"/>
      <c r="H68" s="1"/>
      <c r="I68" s="1"/>
      <c r="J68" s="1"/>
      <c r="K68" s="1"/>
      <c r="L68" s="1"/>
      <c r="M68" s="1"/>
      <c r="N68" s="1"/>
      <c r="O68" s="1"/>
      <c r="P68" s="1"/>
      <c r="Q68" s="1"/>
      <c r="R68" s="1"/>
      <c r="S68" s="1"/>
      <c r="T68" s="1"/>
      <c r="U68" s="1"/>
      <c r="V68" s="1"/>
      <c r="W68" s="1"/>
      <c r="X68" s="1"/>
      <c r="Y68" s="1"/>
      <c r="Z68" s="1"/>
    </row>
    <row r="69" customFormat="false" ht="39.75" hidden="false" customHeight="true" outlineLevel="0" collapsed="false">
      <c r="A69" s="1"/>
      <c r="B69" s="1"/>
      <c r="C69" s="1"/>
      <c r="D69" s="1"/>
      <c r="E69" s="1"/>
      <c r="F69" s="1"/>
      <c r="G69" s="1"/>
      <c r="H69" s="1"/>
      <c r="I69" s="1"/>
      <c r="J69" s="1"/>
      <c r="K69" s="1"/>
      <c r="L69" s="1"/>
      <c r="M69" s="1"/>
      <c r="N69" s="1"/>
      <c r="O69" s="1"/>
      <c r="P69" s="1"/>
      <c r="Q69" s="1"/>
      <c r="R69" s="1"/>
      <c r="S69" s="1"/>
      <c r="T69" s="1"/>
      <c r="U69" s="1"/>
      <c r="V69" s="1"/>
      <c r="W69" s="1"/>
      <c r="X69" s="1"/>
      <c r="Y69" s="1"/>
      <c r="Z69" s="1"/>
    </row>
    <row r="70" customFormat="false" ht="39.75" hidden="false" customHeight="true" outlineLevel="0" collapsed="false">
      <c r="A70" s="1"/>
      <c r="B70" s="1"/>
      <c r="C70" s="1"/>
      <c r="D70" s="1"/>
      <c r="E70" s="1"/>
      <c r="F70" s="1"/>
      <c r="G70" s="1"/>
      <c r="H70" s="1"/>
      <c r="I70" s="1"/>
      <c r="J70" s="1"/>
      <c r="K70" s="1"/>
      <c r="L70" s="1"/>
      <c r="M70" s="1"/>
      <c r="N70" s="1"/>
      <c r="O70" s="1"/>
      <c r="P70" s="1"/>
      <c r="Q70" s="1"/>
      <c r="R70" s="1"/>
      <c r="S70" s="1"/>
      <c r="T70" s="1"/>
      <c r="U70" s="1"/>
      <c r="V70" s="1"/>
      <c r="W70" s="1"/>
      <c r="X70" s="1"/>
      <c r="Y70" s="1"/>
      <c r="Z70" s="1"/>
    </row>
    <row r="71" customFormat="false" ht="39.75" hidden="false" customHeight="true" outlineLevel="0" collapsed="false">
      <c r="A71" s="1"/>
      <c r="B71" s="1"/>
      <c r="C71" s="1"/>
      <c r="D71" s="1"/>
      <c r="E71" s="1"/>
      <c r="F71" s="1"/>
      <c r="G71" s="1"/>
      <c r="H71" s="1"/>
      <c r="I71" s="1"/>
      <c r="J71" s="1"/>
      <c r="K71" s="1"/>
      <c r="L71" s="1"/>
      <c r="M71" s="1"/>
      <c r="N71" s="1"/>
      <c r="O71" s="1"/>
      <c r="P71" s="1"/>
      <c r="Q71" s="1"/>
      <c r="R71" s="1"/>
      <c r="S71" s="1"/>
      <c r="T71" s="1"/>
      <c r="U71" s="1"/>
      <c r="V71" s="1"/>
      <c r="W71" s="1"/>
      <c r="X71" s="1"/>
      <c r="Y71" s="1"/>
      <c r="Z71" s="1"/>
    </row>
    <row r="72" customFormat="false" ht="39.75" hidden="false" customHeight="true" outlineLevel="0" collapsed="false">
      <c r="A72" s="1"/>
      <c r="B72" s="1"/>
      <c r="C72" s="1"/>
      <c r="D72" s="1"/>
      <c r="E72" s="1"/>
      <c r="F72" s="1"/>
      <c r="G72" s="1"/>
      <c r="H72" s="1"/>
      <c r="I72" s="1"/>
      <c r="J72" s="1"/>
      <c r="K72" s="1"/>
      <c r="L72" s="1"/>
      <c r="M72" s="1"/>
      <c r="N72" s="1"/>
      <c r="O72" s="1"/>
      <c r="P72" s="1"/>
      <c r="Q72" s="1"/>
      <c r="R72" s="1"/>
      <c r="S72" s="1"/>
      <c r="T72" s="1"/>
      <c r="U72" s="1"/>
      <c r="V72" s="1"/>
      <c r="W72" s="1"/>
      <c r="X72" s="1"/>
      <c r="Y72" s="1"/>
      <c r="Z72" s="1"/>
    </row>
    <row r="73" customFormat="false" ht="39.75" hidden="false" customHeight="true" outlineLevel="0" collapsed="false">
      <c r="A73" s="1"/>
      <c r="B73" s="1"/>
      <c r="C73" s="1"/>
      <c r="D73" s="1"/>
      <c r="E73" s="1"/>
      <c r="F73" s="1"/>
      <c r="G73" s="1"/>
      <c r="H73" s="1"/>
      <c r="I73" s="1"/>
      <c r="J73" s="1"/>
      <c r="K73" s="1"/>
      <c r="L73" s="1"/>
      <c r="M73" s="1"/>
      <c r="N73" s="1"/>
      <c r="O73" s="1"/>
      <c r="P73" s="1"/>
      <c r="Q73" s="1"/>
      <c r="R73" s="1"/>
      <c r="S73" s="1"/>
      <c r="T73" s="1"/>
      <c r="U73" s="1"/>
      <c r="V73" s="1"/>
      <c r="W73" s="1"/>
      <c r="X73" s="1"/>
      <c r="Y73" s="1"/>
      <c r="Z73" s="1"/>
    </row>
    <row r="74" customFormat="false" ht="39.75" hidden="false" customHeight="true" outlineLevel="0" collapsed="false">
      <c r="A74" s="1"/>
      <c r="B74" s="1"/>
      <c r="C74" s="1"/>
      <c r="D74" s="1"/>
      <c r="E74" s="1"/>
      <c r="F74" s="1"/>
      <c r="G74" s="1"/>
      <c r="H74" s="1"/>
      <c r="I74" s="1"/>
      <c r="J74" s="1"/>
      <c r="K74" s="1"/>
      <c r="L74" s="1"/>
      <c r="M74" s="1"/>
      <c r="N74" s="1"/>
      <c r="O74" s="1"/>
      <c r="P74" s="1"/>
      <c r="Q74" s="1"/>
      <c r="R74" s="1"/>
      <c r="S74" s="1"/>
      <c r="T74" s="1"/>
      <c r="U74" s="1"/>
      <c r="V74" s="1"/>
      <c r="W74" s="1"/>
      <c r="X74" s="1"/>
      <c r="Y74" s="1"/>
      <c r="Z74" s="1"/>
    </row>
    <row r="75" customFormat="false" ht="39.75" hidden="false" customHeight="true" outlineLevel="0" collapsed="false">
      <c r="A75" s="1"/>
      <c r="B75" s="1"/>
      <c r="C75" s="1"/>
      <c r="D75" s="1"/>
      <c r="E75" s="1"/>
      <c r="F75" s="1"/>
      <c r="G75" s="1"/>
      <c r="H75" s="1"/>
      <c r="I75" s="1"/>
      <c r="J75" s="1"/>
      <c r="K75" s="1"/>
      <c r="L75" s="1"/>
      <c r="M75" s="1"/>
      <c r="N75" s="1"/>
      <c r="O75" s="1"/>
      <c r="P75" s="1"/>
      <c r="Q75" s="1"/>
      <c r="R75" s="1"/>
      <c r="S75" s="1"/>
      <c r="T75" s="1"/>
      <c r="U75" s="1"/>
      <c r="V75" s="1"/>
      <c r="W75" s="1"/>
      <c r="X75" s="1"/>
      <c r="Y75" s="1"/>
      <c r="Z75" s="1"/>
    </row>
    <row r="76" customFormat="false" ht="39.75" hidden="false" customHeight="tru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c r="Z76" s="1"/>
    </row>
    <row r="77" customFormat="false" ht="39.75" hidden="false" customHeight="true" outlineLevel="0" collapsed="false">
      <c r="A77" s="1"/>
      <c r="B77" s="1"/>
      <c r="C77" s="1"/>
      <c r="D77" s="1"/>
      <c r="E77" s="1"/>
      <c r="F77" s="1"/>
      <c r="G77" s="1"/>
      <c r="H77" s="1"/>
      <c r="I77" s="1"/>
      <c r="J77" s="1"/>
      <c r="K77" s="1"/>
      <c r="L77" s="1"/>
      <c r="M77" s="1"/>
      <c r="N77" s="1"/>
      <c r="O77" s="1"/>
      <c r="P77" s="1"/>
      <c r="Q77" s="1"/>
      <c r="R77" s="1"/>
      <c r="S77" s="1"/>
      <c r="T77" s="1"/>
      <c r="U77" s="1"/>
      <c r="V77" s="1"/>
      <c r="W77" s="1"/>
      <c r="X77" s="1"/>
      <c r="Y77" s="1"/>
      <c r="Z77" s="1"/>
    </row>
    <row r="78" customFormat="false" ht="39.75" hidden="false" customHeight="true" outlineLevel="0" collapsed="false">
      <c r="A78" s="1"/>
      <c r="B78" s="1"/>
      <c r="C78" s="1"/>
      <c r="D78" s="1"/>
      <c r="E78" s="1"/>
      <c r="F78" s="1"/>
      <c r="G78" s="1"/>
      <c r="H78" s="1"/>
      <c r="I78" s="1"/>
      <c r="J78" s="1"/>
      <c r="K78" s="1"/>
      <c r="L78" s="1"/>
      <c r="M78" s="1"/>
      <c r="N78" s="1"/>
      <c r="O78" s="1"/>
      <c r="P78" s="1"/>
      <c r="Q78" s="1"/>
      <c r="R78" s="1"/>
      <c r="S78" s="1"/>
      <c r="T78" s="1"/>
      <c r="U78" s="1"/>
      <c r="V78" s="1"/>
      <c r="W78" s="1"/>
      <c r="X78" s="1"/>
      <c r="Y78" s="1"/>
      <c r="Z78" s="1"/>
    </row>
    <row r="79" customFormat="false" ht="39.75" hidden="false" customHeight="true" outlineLevel="0" collapsed="false">
      <c r="A79" s="1"/>
      <c r="B79" s="1"/>
      <c r="C79" s="1"/>
      <c r="D79" s="1"/>
      <c r="E79" s="1"/>
      <c r="F79" s="1"/>
      <c r="G79" s="1"/>
      <c r="H79" s="1"/>
      <c r="I79" s="1"/>
      <c r="J79" s="1"/>
      <c r="K79" s="1"/>
      <c r="L79" s="1"/>
      <c r="M79" s="1"/>
      <c r="N79" s="1"/>
      <c r="O79" s="1"/>
      <c r="P79" s="1"/>
      <c r="Q79" s="1"/>
      <c r="R79" s="1"/>
      <c r="S79" s="1"/>
      <c r="T79" s="1"/>
      <c r="U79" s="1"/>
      <c r="V79" s="1"/>
      <c r="W79" s="1"/>
      <c r="X79" s="1"/>
      <c r="Y79" s="1"/>
      <c r="Z79" s="1"/>
    </row>
    <row r="80" customFormat="false" ht="39.75" hidden="false" customHeight="true" outlineLevel="0" collapsed="false">
      <c r="A80" s="1"/>
      <c r="B80" s="1"/>
      <c r="C80" s="1"/>
      <c r="D80" s="1"/>
      <c r="E80" s="1"/>
      <c r="F80" s="1"/>
      <c r="G80" s="1"/>
      <c r="H80" s="1"/>
      <c r="I80" s="1"/>
      <c r="J80" s="1"/>
      <c r="K80" s="1"/>
      <c r="L80" s="1"/>
      <c r="M80" s="1"/>
      <c r="N80" s="1"/>
      <c r="O80" s="1"/>
      <c r="P80" s="1"/>
      <c r="Q80" s="1"/>
      <c r="R80" s="1"/>
      <c r="S80" s="1"/>
      <c r="T80" s="1"/>
      <c r="U80" s="1"/>
      <c r="V80" s="1"/>
      <c r="W80" s="1"/>
      <c r="X80" s="1"/>
      <c r="Y80" s="1"/>
      <c r="Z80" s="1"/>
    </row>
    <row r="81" customFormat="false" ht="39.75" hidden="false" customHeight="true" outlineLevel="0" collapsed="false">
      <c r="A81" s="1"/>
      <c r="B81" s="1"/>
      <c r="C81" s="1"/>
      <c r="D81" s="1"/>
      <c r="E81" s="1"/>
      <c r="F81" s="1"/>
      <c r="G81" s="1"/>
      <c r="H81" s="1"/>
      <c r="I81" s="1"/>
      <c r="J81" s="1"/>
      <c r="K81" s="1"/>
      <c r="L81" s="1"/>
      <c r="M81" s="1"/>
      <c r="N81" s="1"/>
      <c r="O81" s="1"/>
      <c r="P81" s="1"/>
      <c r="Q81" s="1"/>
      <c r="R81" s="1"/>
      <c r="S81" s="1"/>
      <c r="T81" s="1"/>
      <c r="U81" s="1"/>
      <c r="V81" s="1"/>
      <c r="W81" s="1"/>
      <c r="X81" s="1"/>
      <c r="Y81" s="1"/>
      <c r="Z81" s="1"/>
    </row>
    <row r="82" customFormat="false" ht="39.75" hidden="false" customHeight="true" outlineLevel="0" collapsed="false">
      <c r="A82" s="1"/>
      <c r="B82" s="1"/>
      <c r="C82" s="1"/>
      <c r="D82" s="1"/>
      <c r="E82" s="1"/>
      <c r="F82" s="1"/>
      <c r="G82" s="1"/>
      <c r="H82" s="1"/>
      <c r="I82" s="1"/>
      <c r="J82" s="1"/>
      <c r="K82" s="1"/>
      <c r="L82" s="1"/>
      <c r="M82" s="1"/>
      <c r="N82" s="1"/>
      <c r="O82" s="1"/>
      <c r="P82" s="1"/>
      <c r="Q82" s="1"/>
      <c r="R82" s="1"/>
      <c r="S82" s="1"/>
      <c r="T82" s="1"/>
      <c r="U82" s="1"/>
      <c r="V82" s="1"/>
      <c r="W82" s="1"/>
      <c r="X82" s="1"/>
      <c r="Y82" s="1"/>
      <c r="Z82" s="1"/>
    </row>
    <row r="83" customFormat="false" ht="39.75" hidden="false" customHeight="true" outlineLevel="0" collapsed="false">
      <c r="A83" s="1"/>
      <c r="B83" s="1"/>
      <c r="C83" s="1"/>
      <c r="D83" s="1"/>
      <c r="E83" s="1"/>
      <c r="F83" s="1"/>
      <c r="G83" s="1"/>
      <c r="H83" s="1"/>
      <c r="I83" s="1"/>
      <c r="J83" s="1"/>
      <c r="K83" s="1"/>
      <c r="L83" s="1"/>
      <c r="M83" s="1"/>
      <c r="N83" s="1"/>
      <c r="O83" s="1"/>
      <c r="P83" s="1"/>
      <c r="Q83" s="1"/>
      <c r="R83" s="1"/>
      <c r="S83" s="1"/>
      <c r="T83" s="1"/>
      <c r="U83" s="1"/>
      <c r="V83" s="1"/>
      <c r="W83" s="1"/>
      <c r="X83" s="1"/>
      <c r="Y83" s="1"/>
      <c r="Z83" s="1"/>
    </row>
    <row r="84" customFormat="false" ht="39.75" hidden="false" customHeight="true" outlineLevel="0" collapsed="false">
      <c r="A84" s="1"/>
      <c r="B84" s="1"/>
      <c r="C84" s="1"/>
      <c r="D84" s="1"/>
      <c r="E84" s="1"/>
      <c r="F84" s="1"/>
      <c r="G84" s="1"/>
      <c r="H84" s="1"/>
      <c r="I84" s="1"/>
      <c r="J84" s="1"/>
      <c r="K84" s="1"/>
      <c r="L84" s="1"/>
      <c r="M84" s="1"/>
      <c r="N84" s="1"/>
      <c r="O84" s="1"/>
      <c r="P84" s="1"/>
      <c r="Q84" s="1"/>
      <c r="R84" s="1"/>
      <c r="S84" s="1"/>
      <c r="T84" s="1"/>
      <c r="U84" s="1"/>
      <c r="V84" s="1"/>
      <c r="W84" s="1"/>
      <c r="X84" s="1"/>
      <c r="Y84" s="1"/>
      <c r="Z84" s="1"/>
    </row>
    <row r="85" customFormat="false" ht="39.75" hidden="false" customHeight="true" outlineLevel="0" collapsed="false">
      <c r="A85" s="1"/>
      <c r="B85" s="1"/>
      <c r="C85" s="1"/>
      <c r="D85" s="1"/>
      <c r="E85" s="1"/>
      <c r="F85" s="1"/>
      <c r="G85" s="1"/>
      <c r="H85" s="1"/>
      <c r="I85" s="1"/>
      <c r="J85" s="1"/>
      <c r="K85" s="1"/>
      <c r="L85" s="1"/>
      <c r="M85" s="1"/>
      <c r="N85" s="1"/>
      <c r="O85" s="1"/>
      <c r="P85" s="1"/>
      <c r="Q85" s="1"/>
      <c r="R85" s="1"/>
      <c r="S85" s="1"/>
      <c r="T85" s="1"/>
      <c r="U85" s="1"/>
      <c r="V85" s="1"/>
      <c r="W85" s="1"/>
      <c r="X85" s="1"/>
      <c r="Y85" s="1"/>
      <c r="Z85" s="1"/>
    </row>
    <row r="86" customFormat="false" ht="39.75" hidden="false" customHeight="true" outlineLevel="0" collapsed="false">
      <c r="A86" s="1"/>
      <c r="B86" s="1"/>
      <c r="C86" s="1"/>
      <c r="D86" s="1"/>
      <c r="E86" s="1"/>
      <c r="F86" s="1"/>
      <c r="G86" s="1"/>
      <c r="H86" s="1"/>
      <c r="I86" s="1"/>
      <c r="J86" s="1"/>
      <c r="K86" s="1"/>
      <c r="L86" s="1"/>
      <c r="M86" s="1"/>
      <c r="N86" s="1"/>
      <c r="O86" s="1"/>
      <c r="P86" s="1"/>
      <c r="Q86" s="1"/>
      <c r="R86" s="1"/>
      <c r="S86" s="1"/>
      <c r="T86" s="1"/>
      <c r="U86" s="1"/>
      <c r="V86" s="1"/>
      <c r="W86" s="1"/>
      <c r="X86" s="1"/>
      <c r="Y86" s="1"/>
      <c r="Z86" s="1"/>
    </row>
    <row r="87" customFormat="false" ht="39.75" hidden="false" customHeight="true" outlineLevel="0" collapsed="false">
      <c r="A87" s="1"/>
      <c r="B87" s="1"/>
      <c r="C87" s="1"/>
      <c r="D87" s="1"/>
      <c r="E87" s="1"/>
      <c r="F87" s="1"/>
      <c r="G87" s="1"/>
      <c r="H87" s="1"/>
      <c r="I87" s="1"/>
      <c r="J87" s="1"/>
      <c r="K87" s="1"/>
      <c r="L87" s="1"/>
      <c r="M87" s="1"/>
      <c r="N87" s="1"/>
      <c r="O87" s="1"/>
      <c r="P87" s="1"/>
      <c r="Q87" s="1"/>
      <c r="R87" s="1"/>
      <c r="S87" s="1"/>
      <c r="T87" s="1"/>
      <c r="U87" s="1"/>
      <c r="V87" s="1"/>
      <c r="W87" s="1"/>
      <c r="X87" s="1"/>
      <c r="Y87" s="1"/>
      <c r="Z87" s="1"/>
    </row>
    <row r="88" customFormat="false" ht="39.75" hidden="false" customHeight="true" outlineLevel="0" collapsed="false">
      <c r="A88" s="1"/>
      <c r="B88" s="1"/>
      <c r="C88" s="1"/>
      <c r="D88" s="1"/>
      <c r="E88" s="1"/>
      <c r="F88" s="1"/>
      <c r="G88" s="1"/>
      <c r="H88" s="1"/>
      <c r="I88" s="1"/>
      <c r="J88" s="1"/>
      <c r="K88" s="1"/>
      <c r="L88" s="1"/>
      <c r="M88" s="1"/>
      <c r="N88" s="1"/>
      <c r="O88" s="1"/>
      <c r="P88" s="1"/>
      <c r="Q88" s="1"/>
      <c r="R88" s="1"/>
      <c r="S88" s="1"/>
      <c r="T88" s="1"/>
      <c r="U88" s="1"/>
      <c r="V88" s="1"/>
      <c r="W88" s="1"/>
      <c r="X88" s="1"/>
      <c r="Y88" s="1"/>
      <c r="Z88" s="1"/>
    </row>
    <row r="89" customFormat="false" ht="39.75" hidden="false" customHeight="true" outlineLevel="0" collapsed="false">
      <c r="A89" s="1"/>
      <c r="B89" s="1"/>
      <c r="C89" s="1"/>
      <c r="D89" s="1"/>
      <c r="E89" s="1"/>
      <c r="F89" s="1"/>
      <c r="G89" s="1"/>
      <c r="H89" s="1"/>
      <c r="I89" s="1"/>
      <c r="J89" s="1"/>
      <c r="K89" s="1"/>
      <c r="L89" s="1"/>
      <c r="M89" s="1"/>
      <c r="N89" s="1"/>
      <c r="O89" s="1"/>
      <c r="P89" s="1"/>
      <c r="Q89" s="1"/>
      <c r="R89" s="1"/>
      <c r="S89" s="1"/>
      <c r="T89" s="1"/>
      <c r="U89" s="1"/>
      <c r="V89" s="1"/>
      <c r="W89" s="1"/>
      <c r="X89" s="1"/>
      <c r="Y89" s="1"/>
      <c r="Z89" s="1"/>
    </row>
    <row r="90" customFormat="false" ht="39.75" hidden="false" customHeight="true" outlineLevel="0" collapsed="false">
      <c r="A90" s="1"/>
      <c r="B90" s="1"/>
      <c r="C90" s="1"/>
      <c r="D90" s="1"/>
      <c r="E90" s="1"/>
      <c r="F90" s="1"/>
      <c r="G90" s="1"/>
      <c r="H90" s="1"/>
      <c r="I90" s="1"/>
      <c r="J90" s="1"/>
      <c r="K90" s="1"/>
      <c r="L90" s="1"/>
      <c r="M90" s="1"/>
      <c r="N90" s="1"/>
      <c r="O90" s="1"/>
      <c r="P90" s="1"/>
      <c r="Q90" s="1"/>
      <c r="R90" s="1"/>
      <c r="S90" s="1"/>
      <c r="T90" s="1"/>
      <c r="U90" s="1"/>
      <c r="V90" s="1"/>
      <c r="W90" s="1"/>
      <c r="X90" s="1"/>
      <c r="Y90" s="1"/>
      <c r="Z90" s="1"/>
    </row>
    <row r="91" customFormat="false" ht="39.75" hidden="false" customHeight="true" outlineLevel="0" collapsed="false">
      <c r="A91" s="1"/>
      <c r="B91" s="1"/>
      <c r="C91" s="1"/>
      <c r="D91" s="1"/>
      <c r="E91" s="1"/>
      <c r="F91" s="1"/>
      <c r="G91" s="1"/>
      <c r="H91" s="1"/>
      <c r="I91" s="1"/>
      <c r="J91" s="1"/>
      <c r="K91" s="1"/>
      <c r="L91" s="1"/>
      <c r="M91" s="1"/>
      <c r="N91" s="1"/>
      <c r="O91" s="1"/>
      <c r="P91" s="1"/>
      <c r="Q91" s="1"/>
      <c r="R91" s="1"/>
      <c r="S91" s="1"/>
      <c r="T91" s="1"/>
      <c r="U91" s="1"/>
      <c r="V91" s="1"/>
      <c r="W91" s="1"/>
      <c r="X91" s="1"/>
      <c r="Y91" s="1"/>
      <c r="Z91" s="1"/>
    </row>
    <row r="92" customFormat="false" ht="39.75" hidden="false" customHeight="true" outlineLevel="0" collapsed="false">
      <c r="A92" s="1"/>
      <c r="B92" s="1"/>
      <c r="C92" s="1"/>
      <c r="D92" s="1"/>
      <c r="E92" s="1"/>
      <c r="F92" s="1"/>
      <c r="G92" s="1"/>
      <c r="H92" s="1"/>
      <c r="I92" s="1"/>
      <c r="J92" s="1"/>
      <c r="K92" s="1"/>
      <c r="L92" s="1"/>
      <c r="M92" s="1"/>
      <c r="N92" s="1"/>
      <c r="O92" s="1"/>
      <c r="P92" s="1"/>
      <c r="Q92" s="1"/>
      <c r="R92" s="1"/>
      <c r="S92" s="1"/>
      <c r="T92" s="1"/>
      <c r="U92" s="1"/>
      <c r="V92" s="1"/>
      <c r="W92" s="1"/>
      <c r="X92" s="1"/>
      <c r="Y92" s="1"/>
      <c r="Z92" s="1"/>
    </row>
    <row r="93" customFormat="false" ht="39.75" hidden="false" customHeight="true" outlineLevel="0" collapsed="false">
      <c r="A93" s="1"/>
      <c r="B93" s="1"/>
      <c r="C93" s="1"/>
      <c r="D93" s="1"/>
      <c r="E93" s="1"/>
      <c r="F93" s="1"/>
      <c r="G93" s="1"/>
      <c r="H93" s="1"/>
      <c r="I93" s="1"/>
      <c r="J93" s="1"/>
      <c r="K93" s="1"/>
      <c r="L93" s="1"/>
      <c r="M93" s="1"/>
      <c r="N93" s="1"/>
      <c r="O93" s="1"/>
      <c r="P93" s="1"/>
      <c r="Q93" s="1"/>
      <c r="R93" s="1"/>
      <c r="S93" s="1"/>
      <c r="T93" s="1"/>
      <c r="U93" s="1"/>
      <c r="V93" s="1"/>
      <c r="W93" s="1"/>
      <c r="X93" s="1"/>
      <c r="Y93" s="1"/>
      <c r="Z93" s="1"/>
    </row>
    <row r="94" customFormat="false" ht="39.75" hidden="false" customHeight="tru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c r="Z94" s="1"/>
    </row>
    <row r="95" customFormat="false" ht="39.75" hidden="false" customHeight="true" outlineLevel="0" collapsed="false">
      <c r="A95" s="1"/>
      <c r="B95" s="1"/>
      <c r="C95" s="1"/>
      <c r="D95" s="1"/>
      <c r="E95" s="1"/>
      <c r="F95" s="1"/>
      <c r="G95" s="1"/>
      <c r="H95" s="1"/>
      <c r="I95" s="1"/>
      <c r="J95" s="1"/>
      <c r="K95" s="1"/>
      <c r="L95" s="1"/>
      <c r="M95" s="1"/>
      <c r="N95" s="1"/>
      <c r="O95" s="1"/>
      <c r="P95" s="1"/>
      <c r="Q95" s="1"/>
      <c r="R95" s="1"/>
      <c r="S95" s="1"/>
      <c r="T95" s="1"/>
      <c r="U95" s="1"/>
      <c r="V95" s="1"/>
      <c r="W95" s="1"/>
      <c r="X95" s="1"/>
      <c r="Y95" s="1"/>
      <c r="Z95" s="1"/>
    </row>
    <row r="96" customFormat="false" ht="39.75" hidden="false" customHeight="true" outlineLevel="0" collapsed="false">
      <c r="A96" s="1"/>
      <c r="B96" s="1"/>
      <c r="C96" s="1"/>
      <c r="D96" s="1"/>
      <c r="E96" s="1"/>
      <c r="F96" s="1"/>
      <c r="G96" s="1"/>
      <c r="H96" s="1"/>
      <c r="I96" s="1"/>
      <c r="J96" s="1"/>
      <c r="K96" s="1"/>
      <c r="L96" s="1"/>
      <c r="M96" s="1"/>
      <c r="N96" s="1"/>
      <c r="O96" s="1"/>
      <c r="P96" s="1"/>
      <c r="Q96" s="1"/>
      <c r="R96" s="1"/>
      <c r="S96" s="1"/>
      <c r="T96" s="1"/>
      <c r="U96" s="1"/>
      <c r="V96" s="1"/>
      <c r="W96" s="1"/>
      <c r="X96" s="1"/>
      <c r="Y96" s="1"/>
      <c r="Z96" s="1"/>
    </row>
    <row r="97" customFormat="false" ht="39.75" hidden="false" customHeight="true" outlineLevel="0" collapsed="false">
      <c r="A97" s="1"/>
      <c r="B97" s="1"/>
      <c r="C97" s="1"/>
      <c r="D97" s="1"/>
      <c r="E97" s="1"/>
      <c r="F97" s="1"/>
      <c r="G97" s="1"/>
      <c r="H97" s="1"/>
      <c r="I97" s="1"/>
      <c r="J97" s="1"/>
      <c r="K97" s="1"/>
      <c r="L97" s="1"/>
      <c r="M97" s="1"/>
      <c r="N97" s="1"/>
      <c r="O97" s="1"/>
      <c r="P97" s="1"/>
      <c r="Q97" s="1"/>
      <c r="R97" s="1"/>
      <c r="S97" s="1"/>
      <c r="T97" s="1"/>
      <c r="U97" s="1"/>
      <c r="V97" s="1"/>
      <c r="W97" s="1"/>
      <c r="X97" s="1"/>
      <c r="Y97" s="1"/>
      <c r="Z97" s="1"/>
    </row>
    <row r="98" customFormat="false" ht="39.75" hidden="false" customHeight="true" outlineLevel="0" collapsed="false">
      <c r="A98" s="1"/>
      <c r="B98" s="1"/>
      <c r="C98" s="1"/>
      <c r="D98" s="1"/>
      <c r="E98" s="1"/>
      <c r="F98" s="1"/>
      <c r="G98" s="1"/>
      <c r="H98" s="1"/>
      <c r="I98" s="1"/>
      <c r="J98" s="1"/>
      <c r="K98" s="1"/>
      <c r="L98" s="1"/>
      <c r="M98" s="1"/>
      <c r="N98" s="1"/>
      <c r="O98" s="1"/>
      <c r="P98" s="1"/>
      <c r="Q98" s="1"/>
      <c r="R98" s="1"/>
      <c r="S98" s="1"/>
      <c r="T98" s="1"/>
      <c r="U98" s="1"/>
      <c r="V98" s="1"/>
      <c r="W98" s="1"/>
      <c r="X98" s="1"/>
      <c r="Y98" s="1"/>
      <c r="Z98" s="1"/>
    </row>
    <row r="99" customFormat="false" ht="39.75" hidden="false" customHeight="true" outlineLevel="0" collapsed="false">
      <c r="A99" s="1"/>
      <c r="B99" s="1"/>
      <c r="C99" s="1"/>
      <c r="D99" s="1"/>
      <c r="E99" s="1"/>
      <c r="F99" s="1"/>
      <c r="G99" s="1"/>
      <c r="H99" s="1"/>
      <c r="I99" s="1"/>
      <c r="J99" s="1"/>
      <c r="K99" s="1"/>
      <c r="L99" s="1"/>
      <c r="M99" s="1"/>
      <c r="N99" s="1"/>
      <c r="O99" s="1"/>
      <c r="P99" s="1"/>
      <c r="Q99" s="1"/>
      <c r="R99" s="1"/>
      <c r="S99" s="1"/>
      <c r="T99" s="1"/>
      <c r="U99" s="1"/>
      <c r="V99" s="1"/>
      <c r="W99" s="1"/>
      <c r="X99" s="1"/>
      <c r="Y99" s="1"/>
      <c r="Z99" s="1"/>
    </row>
    <row r="100" customFormat="false" ht="39.75" hidden="false" customHeight="true" outlineLevel="0" collapsed="false">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ustomFormat="false" ht="39.75" hidden="false" customHeight="true" outlineLevel="0" collapsed="false">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ustomFormat="false" ht="39.75" hidden="false" customHeight="true" outlineLevel="0" collapsed="false">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ustomFormat="false" ht="39.75" hidden="false" customHeight="true" outlineLevel="0" collapsed="false">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ustomFormat="false" ht="39.75" hidden="false" customHeight="tru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ustomFormat="false" ht="39.75" hidden="false" customHeight="true" outlineLevel="0" collapsed="false">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ustomFormat="false" ht="39.75" hidden="false" customHeight="true" outlineLevel="0" collapsed="false">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ustomFormat="false" ht="39.75" hidden="false" customHeight="true" outlineLevel="0" collapsed="false">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ustomFormat="false" ht="39.75" hidden="false" customHeight="true" outlineLevel="0" collapsed="false">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ustomFormat="false" ht="39.75" hidden="false" customHeight="true" outlineLevel="0" collapsed="false">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ustomFormat="false" ht="39.75" hidden="false" customHeight="true" outlineLevel="0" collapsed="false">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ustomFormat="false" ht="39.75" hidden="false" customHeight="true" outlineLevel="0" collapsed="false">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ustomFormat="false" ht="39.75" hidden="false" customHeight="true" outlineLevel="0" collapsed="false">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ustomFormat="false" ht="39.75" hidden="false" customHeight="true" outlineLevel="0" collapsed="false">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ustomFormat="false" ht="39.75" hidden="false" customHeight="true" outlineLevel="0" collapsed="false">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ustomFormat="false" ht="39.75" hidden="false" customHeight="true" outlineLevel="0" collapsed="false">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ustomFormat="false" ht="39.75" hidden="false" customHeight="true" outlineLevel="0" collapsed="false">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ustomFormat="false" ht="39.75" hidden="false" customHeight="true" outlineLevel="0" collapsed="false">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ustomFormat="false" ht="39.75" hidden="false" customHeight="true" outlineLevel="0" collapsed="false">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ustomFormat="false" ht="39.75" hidden="false" customHeight="true" outlineLevel="0" collapsed="false">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ustomFormat="false" ht="39.75" hidden="false" customHeight="true" outlineLevel="0" collapsed="false">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ustomFormat="false" ht="39.75" hidden="false" customHeight="true" outlineLevel="0" collapsed="false">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ustomFormat="false" ht="39.75" hidden="false" customHeight="true" outlineLevel="0" collapsed="false">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ustomFormat="false" ht="39.75" hidden="false" customHeight="true" outlineLevel="0" collapsed="false">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ustomFormat="false" ht="39.75" hidden="false" customHeight="true" outlineLevel="0" collapsed="false">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ustomFormat="false" ht="39.75" hidden="false" customHeight="true" outlineLevel="0" collapsed="false">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ustomFormat="false" ht="39.75" hidden="false" customHeight="true" outlineLevel="0" collapsed="false">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ustomFormat="false" ht="39.75" hidden="false" customHeight="true" outlineLevel="0" collapsed="false">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ustomFormat="false" ht="39.75" hidden="false" customHeight="true" outlineLevel="0" collapsed="false">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ustomFormat="false" ht="39.75" hidden="false" customHeight="true" outlineLevel="0" collapsed="false">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ustomFormat="false" ht="39.75" hidden="false" customHeight="true" outlineLevel="0" collapsed="false">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ustomFormat="false" ht="39.75" hidden="false" customHeight="true" outlineLevel="0" collapsed="false">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ustomFormat="false" ht="39.75" hidden="false" customHeight="true" outlineLevel="0" collapsed="false">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ustomFormat="false" ht="39.75" hidden="false" customHeight="true" outlineLevel="0" collapsed="false">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ustomFormat="false" ht="39.75" hidden="false" customHeight="true" outlineLevel="0" collapsed="false">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ustomFormat="false" ht="39.75" hidden="false" customHeight="true" outlineLevel="0" collapsed="false">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ustomFormat="false" ht="39.75" hidden="false" customHeight="true" outlineLevel="0" collapsed="false">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ustomFormat="false" ht="39.75" hidden="false" customHeight="true" outlineLevel="0" collapsed="false">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ustomFormat="false" ht="39.75" hidden="false" customHeight="true" outlineLevel="0" collapsed="false">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ustomFormat="false" ht="39.75" hidden="false" customHeight="true" outlineLevel="0" collapsed="false">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ustomFormat="false" ht="39.75" hidden="false" customHeight="true" outlineLevel="0" collapsed="false">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ustomFormat="false" ht="39.75" hidden="false" customHeight="true" outlineLevel="0" collapsed="false">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ustomFormat="false" ht="39.75" hidden="false" customHeight="true" outlineLevel="0" collapsed="false">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ustomFormat="false" ht="39.75" hidden="false" customHeight="true" outlineLevel="0" collapsed="false">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ustomFormat="false" ht="39.75" hidden="false" customHeight="true" outlineLevel="0" collapsed="false">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ustomFormat="false" ht="39.75" hidden="false" customHeight="true" outlineLevel="0" collapsed="false">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ustomFormat="false" ht="39.75" hidden="false" customHeight="true" outlineLevel="0" collapsed="false">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ustomFormat="false" ht="39.75" hidden="false" customHeight="true" outlineLevel="0" collapsed="false">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ustomFormat="false" ht="39.75" hidden="false" customHeight="true" outlineLevel="0" collapsed="false">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ustomFormat="false" ht="39.75" hidden="false" customHeight="true" outlineLevel="0" collapsed="false">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ustomFormat="false" ht="39.75" hidden="false" customHeight="true" outlineLevel="0" collapsed="false">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ustomFormat="false" ht="39.75" hidden="false" customHeight="true" outlineLevel="0" collapsed="false">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ustomFormat="false" ht="39.75" hidden="false" customHeight="true" outlineLevel="0" collapsed="false">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ustomFormat="false" ht="39.75" hidden="false" customHeight="true" outlineLevel="0" collapsed="false">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ustomFormat="false" ht="39.75" hidden="false" customHeight="true" outlineLevel="0" collapsed="false">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ustomFormat="false" ht="39.75" hidden="false" customHeight="true" outlineLevel="0" collapsed="false">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ustomFormat="false" ht="39.75" hidden="false" customHeight="true" outlineLevel="0" collapsed="false">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ustomFormat="false" ht="39.75" hidden="false" customHeight="true" outlineLevel="0" collapsed="false">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ustomFormat="false" ht="39.75" hidden="false" customHeight="true" outlineLevel="0" collapsed="false">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ustomFormat="false" ht="39.75" hidden="false" customHeight="true" outlineLevel="0" collapsed="false">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ustomFormat="false" ht="39.75" hidden="false" customHeight="true" outlineLevel="0" collapsed="false">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ustomFormat="false" ht="39.75" hidden="false" customHeight="true" outlineLevel="0" collapsed="false">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ustomFormat="false" ht="39.75" hidden="false" customHeight="true" outlineLevel="0" collapsed="false">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ustomFormat="false" ht="39.75" hidden="false" customHeight="true" outlineLevel="0" collapsed="false">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ustomFormat="false" ht="39.75" hidden="false" customHeight="true" outlineLevel="0" collapsed="false">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ustomFormat="false" ht="39.75" hidden="false" customHeight="true" outlineLevel="0" collapsed="false">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ustomFormat="false" ht="39.75" hidden="false" customHeight="true" outlineLevel="0" collapsed="false">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ustomFormat="false" ht="39.75" hidden="false" customHeight="true" outlineLevel="0" collapsed="false">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ustomFormat="false" ht="39.75" hidden="false" customHeight="true" outlineLevel="0" collapsed="false">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ustomFormat="false" ht="39.75" hidden="false" customHeight="true" outlineLevel="0" collapsed="false">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ustomFormat="false" ht="39.75" hidden="false" customHeight="true" outlineLevel="0" collapsed="false">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ustomFormat="false" ht="39.75" hidden="false" customHeight="true" outlineLevel="0" collapsed="false">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ustomFormat="false" ht="39.75" hidden="false" customHeight="true" outlineLevel="0" collapsed="false">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ustomFormat="false" ht="39.75" hidden="false" customHeight="true" outlineLevel="0" collapsed="false">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ustomFormat="false" ht="39.75" hidden="false" customHeight="true" outlineLevel="0" collapsed="false">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ustomFormat="false" ht="39.75" hidden="false" customHeight="true" outlineLevel="0" collapsed="false">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ustomFormat="false" ht="39.75" hidden="false" customHeight="true" outlineLevel="0" collapsed="false">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ustomFormat="false" ht="39.75" hidden="false" customHeight="true" outlineLevel="0" collapsed="false">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ustomFormat="false" ht="39.75" hidden="false" customHeight="true" outlineLevel="0" collapsed="false">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ustomFormat="false" ht="39.75" hidden="false" customHeight="true" outlineLevel="0" collapsed="false">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ustomFormat="false" ht="39.75" hidden="false" customHeight="true" outlineLevel="0" collapsed="false">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ustomFormat="false" ht="39.75" hidden="false" customHeight="true" outlineLevel="0" collapsed="false">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ustomFormat="false" ht="39.75" hidden="false" customHeight="true" outlineLevel="0" collapsed="false">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ustomFormat="false" ht="39.75" hidden="false" customHeight="true" outlineLevel="0" collapsed="false">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ustomFormat="false" ht="39.75" hidden="false" customHeight="true" outlineLevel="0" collapsed="false">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ustomFormat="false" ht="39.75" hidden="false" customHeight="true" outlineLevel="0" collapsed="false">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ustomFormat="false" ht="39.75" hidden="false" customHeight="true" outlineLevel="0" collapsed="false">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ustomFormat="false" ht="39.75" hidden="false" customHeight="true" outlineLevel="0" collapsed="false">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ustomFormat="false" ht="39.75" hidden="false" customHeight="true" outlineLevel="0" collapsed="false">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ustomFormat="false" ht="39.75" hidden="false" customHeight="true" outlineLevel="0" collapsed="false">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ustomFormat="false" ht="39.75" hidden="false" customHeight="true" outlineLevel="0" collapsed="false">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ustomFormat="false" ht="39.75" hidden="false" customHeight="true" outlineLevel="0" collapsed="false">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ustomFormat="false" ht="39.75" hidden="false" customHeight="true" outlineLevel="0" collapsed="false">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ustomFormat="false" ht="39.75" hidden="false" customHeight="true" outlineLevel="0" collapsed="false">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ustomFormat="false" ht="39.75" hidden="false" customHeight="true" outlineLevel="0" collapsed="false">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ustomFormat="false" ht="39.75" hidden="false" customHeight="true" outlineLevel="0" collapsed="false">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ustomFormat="false" ht="39.75" hidden="false" customHeight="true" outlineLevel="0" collapsed="false">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ustomFormat="false" ht="39.75" hidden="false" customHeight="true" outlineLevel="0" collapsed="false">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ustomFormat="false" ht="39.75" hidden="false" customHeight="true" outlineLevel="0" collapsed="false">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ustomFormat="false" ht="39.75" hidden="false" customHeight="true" outlineLevel="0" collapsed="false">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ustomFormat="false" ht="39.75" hidden="false" customHeight="true" outlineLevel="0" collapsed="false">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ustomFormat="false" ht="39.75" hidden="false" customHeight="true" outlineLevel="0" collapsed="false">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ustomFormat="false" ht="39.75" hidden="false" customHeight="true" outlineLevel="0" collapsed="false">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ustomFormat="false" ht="39.75" hidden="false" customHeight="true" outlineLevel="0" collapsed="false">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ustomFormat="false" ht="39.75" hidden="false" customHeight="true" outlineLevel="0" collapsed="false">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ustomFormat="false" ht="39.75" hidden="false" customHeight="true" outlineLevel="0" collapsed="false">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ustomFormat="false" ht="39.75" hidden="false" customHeight="true" outlineLevel="0" collapsed="false">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ustomFormat="false" ht="39.75" hidden="false" customHeight="true" outlineLevel="0" collapsed="false">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ustomFormat="false" ht="39.75" hidden="false" customHeight="true" outlineLevel="0" collapsed="false">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ustomFormat="false" ht="39.75" hidden="false" customHeight="true" outlineLevel="0" collapsed="false">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ustomFormat="false" ht="39.75" hidden="false" customHeight="true" outlineLevel="0" collapsed="false">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ustomFormat="false" ht="39.75" hidden="false" customHeight="true" outlineLevel="0" collapsed="false">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ustomFormat="false" ht="39.75" hidden="false" customHeight="true" outlineLevel="0" collapsed="false">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ustomFormat="false" ht="39.75" hidden="false" customHeight="true" outlineLevel="0" collapsed="false">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ustomFormat="false" ht="39.75" hidden="false" customHeight="true" outlineLevel="0" collapsed="false">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ustomFormat="false" ht="39.75" hidden="false" customHeight="true" outlineLevel="0" collapsed="false">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ustomFormat="false" ht="39.75" hidden="false" customHeight="true" outlineLevel="0" collapsed="false">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ustomFormat="false" ht="39.75" hidden="false" customHeight="true" outlineLevel="0" collapsed="false">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ustomFormat="false" ht="39.75" hidden="false" customHeight="true" outlineLevel="0" collapsed="false">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ustomFormat="false" ht="39.75" hidden="false" customHeight="true" outlineLevel="0" collapsed="false">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ustomFormat="false" ht="39.75" hidden="false" customHeight="true" outlineLevel="0" collapsed="false">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B7:O7"/>
    <mergeCell ref="B9:O9"/>
    <mergeCell ref="F11:H11"/>
    <mergeCell ref="I11:L11"/>
    <mergeCell ref="F12:H12"/>
    <mergeCell ref="I12:L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B2: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8.71"/>
    <col collapsed="false" customWidth="true" hidden="false" outlineLevel="0" max="2" min="2" style="0" width="32.86"/>
    <col collapsed="false" customWidth="true" hidden="false" outlineLevel="0" max="6" min="3" style="0" width="8.71"/>
    <col collapsed="false" customWidth="true" hidden="false" outlineLevel="0" max="7" min="7" style="0" width="31.15"/>
    <col collapsed="false" customWidth="true" hidden="false" outlineLevel="0" max="12" min="8" style="0" width="8.71"/>
  </cols>
  <sheetData>
    <row r="2" customFormat="false" ht="36" hidden="false" customHeight="true" outlineLevel="0" collapsed="false">
      <c r="B2" s="22" t="s">
        <v>6</v>
      </c>
    </row>
    <row r="3" customFormat="false" ht="15" hidden="false" customHeight="false" outlineLevel="0" collapsed="false">
      <c r="B3" s="23" t="s">
        <v>7</v>
      </c>
    </row>
    <row r="5" customFormat="false" ht="15" hidden="false" customHeight="false" outlineLevel="0" collapsed="false">
      <c r="B5" s="24"/>
      <c r="D5" s="24"/>
      <c r="E5" s="24"/>
      <c r="F5" s="24"/>
      <c r="G5" s="24"/>
      <c r="H5" s="24"/>
      <c r="I5" s="24"/>
      <c r="J5" s="24"/>
      <c r="K5" s="24"/>
      <c r="L5" s="24"/>
    </row>
    <row r="6" customFormat="false" ht="15" hidden="false" customHeight="false" outlineLevel="0" collapsed="false">
      <c r="B6" s="24"/>
      <c r="D6" s="24"/>
      <c r="E6" s="24"/>
      <c r="F6" s="24"/>
      <c r="G6" s="24"/>
      <c r="H6" s="24"/>
      <c r="I6" s="24"/>
      <c r="J6" s="24"/>
      <c r="K6" s="24"/>
      <c r="L6" s="24"/>
    </row>
    <row r="7" customFormat="false" ht="15" hidden="false" customHeight="false" outlineLevel="0" collapsed="false">
      <c r="B7" s="24"/>
      <c r="D7" s="24"/>
      <c r="E7" s="24"/>
      <c r="F7" s="24"/>
      <c r="G7" s="24"/>
      <c r="H7" s="24"/>
      <c r="I7" s="24"/>
      <c r="J7" s="24"/>
      <c r="K7" s="24"/>
      <c r="L7" s="24"/>
    </row>
    <row r="8" customFormat="false" ht="15" hidden="false" customHeight="false" outlineLevel="0" collapsed="false">
      <c r="B8" s="24"/>
      <c r="D8" s="24"/>
      <c r="E8" s="24"/>
      <c r="F8" s="24"/>
      <c r="G8" s="24"/>
      <c r="H8" s="24"/>
      <c r="I8" s="24"/>
      <c r="J8" s="24"/>
      <c r="K8" s="24"/>
      <c r="L8" s="24"/>
    </row>
    <row r="9" customFormat="false" ht="15" hidden="false" customHeight="false" outlineLevel="0" collapsed="false">
      <c r="B9" s="24"/>
      <c r="D9" s="24"/>
      <c r="E9" s="24"/>
      <c r="F9" s="24"/>
      <c r="G9" s="24"/>
      <c r="H9" s="24"/>
      <c r="I9" s="24"/>
      <c r="J9" s="24"/>
      <c r="K9" s="24"/>
      <c r="L9" s="24"/>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sheetPr filterMode="false">
    <tabColor rgb="FF1E4E79"/>
    <pageSetUpPr fitToPage="true"/>
  </sheetPr>
  <dimension ref="A1:Z10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2.15"/>
    <col collapsed="false" customWidth="true" hidden="false" outlineLevel="0" max="2" min="2" style="0" width="4.86"/>
    <col collapsed="false" customWidth="true" hidden="false" outlineLevel="0" max="3" min="3" style="0" width="11"/>
    <col collapsed="false" customWidth="true" hidden="false" outlineLevel="0" max="4" min="4" style="0" width="30"/>
    <col collapsed="false" customWidth="true" hidden="false" outlineLevel="0" max="5" min="5" style="0" width="19.14"/>
    <col collapsed="false" customWidth="true" hidden="false" outlineLevel="0" max="6" min="6" style="0" width="118.15"/>
    <col collapsed="false" customWidth="true" hidden="false" outlineLevel="0" max="7" min="7" style="0" width="15.71"/>
    <col collapsed="false" customWidth="true" hidden="false" outlineLevel="0" max="8" min="8" style="0" width="14.29"/>
    <col collapsed="false" customWidth="true" hidden="false" outlineLevel="0" max="9" min="9" style="0" width="21.71"/>
    <col collapsed="false" customWidth="true" hidden="false" outlineLevel="0" max="11" min="10" style="0" width="15.71"/>
    <col collapsed="false" customWidth="true" hidden="false" outlineLevel="0" max="12" min="12" style="0" width="25.71"/>
    <col collapsed="false" customWidth="true" hidden="false" outlineLevel="0" max="13" min="13" style="0" width="26.29"/>
    <col collapsed="false" customWidth="true" hidden="false" outlineLevel="0" max="14" min="14" style="0" width="53.14"/>
    <col collapsed="false" customWidth="true" hidden="false" outlineLevel="0" max="15" min="15" style="0" width="3.57"/>
    <col collapsed="false" customWidth="true" hidden="false" outlineLevel="0" max="26" min="16" style="0" width="11.43"/>
  </cols>
  <sheetData>
    <row r="1" customFormat="false" ht="42" hidden="false" customHeight="true" outlineLevel="0" collapsed="false">
      <c r="A1" s="25"/>
      <c r="B1" s="26"/>
      <c r="C1" s="27" t="s">
        <v>8</v>
      </c>
      <c r="D1" s="28"/>
      <c r="E1" s="28"/>
      <c r="F1" s="28"/>
      <c r="G1" s="29"/>
      <c r="H1" s="28"/>
      <c r="I1" s="14"/>
      <c r="J1" s="14"/>
      <c r="K1" s="14"/>
      <c r="L1" s="14"/>
      <c r="M1" s="14"/>
      <c r="N1" s="14"/>
      <c r="O1" s="14"/>
      <c r="P1" s="14"/>
      <c r="Q1" s="14"/>
      <c r="R1" s="14"/>
      <c r="S1" s="14"/>
      <c r="T1" s="14"/>
      <c r="U1" s="14"/>
      <c r="V1" s="14"/>
      <c r="W1" s="30"/>
      <c r="X1" s="30"/>
      <c r="Y1" s="30"/>
      <c r="Z1" s="30"/>
    </row>
    <row r="2" customFormat="false" ht="15" hidden="false" customHeight="true" outlineLevel="0" collapsed="false">
      <c r="A2" s="25"/>
      <c r="B2" s="26"/>
      <c r="C2" s="25"/>
      <c r="D2" s="25"/>
      <c r="E2" s="25"/>
      <c r="F2" s="25"/>
      <c r="G2" s="26"/>
      <c r="H2" s="25"/>
      <c r="I2" s="31"/>
      <c r="J2" s="31"/>
      <c r="K2" s="31"/>
      <c r="L2" s="31"/>
      <c r="M2" s="31"/>
      <c r="N2" s="25"/>
      <c r="O2" s="30"/>
      <c r="P2" s="30"/>
      <c r="Q2" s="30"/>
      <c r="R2" s="30"/>
      <c r="S2" s="30"/>
      <c r="T2" s="30"/>
      <c r="U2" s="30"/>
      <c r="V2" s="30"/>
      <c r="W2" s="30"/>
      <c r="X2" s="30"/>
      <c r="Y2" s="30"/>
      <c r="Z2" s="30"/>
    </row>
    <row r="3" customFormat="false" ht="18" hidden="false" customHeight="true" outlineLevel="0" collapsed="false">
      <c r="A3" s="25"/>
      <c r="B3" s="26"/>
      <c r="C3" s="32" t="s">
        <v>9</v>
      </c>
      <c r="D3" s="32"/>
      <c r="E3" s="33" t="s">
        <v>0</v>
      </c>
      <c r="F3" s="33"/>
      <c r="G3" s="34"/>
      <c r="H3" s="35"/>
      <c r="I3" s="35"/>
      <c r="J3" s="36" t="s">
        <v>10</v>
      </c>
      <c r="K3" s="31"/>
      <c r="L3" s="25"/>
      <c r="M3" s="30"/>
      <c r="N3" s="30"/>
      <c r="O3" s="30"/>
      <c r="P3" s="30"/>
      <c r="Q3" s="30"/>
      <c r="R3" s="30"/>
      <c r="S3" s="30"/>
      <c r="T3" s="30"/>
      <c r="U3" s="30"/>
      <c r="V3" s="30"/>
      <c r="W3" s="30"/>
      <c r="X3" s="30"/>
      <c r="Y3" s="30"/>
      <c r="Z3" s="30"/>
    </row>
    <row r="4" customFormat="false" ht="18" hidden="false" customHeight="true" outlineLevel="0" collapsed="false">
      <c r="A4" s="25"/>
      <c r="B4" s="26"/>
      <c r="C4" s="32" t="s">
        <v>11</v>
      </c>
      <c r="D4" s="32"/>
      <c r="E4" s="33" t="s">
        <v>12</v>
      </c>
      <c r="F4" s="33"/>
      <c r="G4" s="37"/>
      <c r="H4" s="35"/>
      <c r="I4" s="35"/>
      <c r="J4" s="36"/>
      <c r="K4" s="31"/>
      <c r="L4" s="25"/>
      <c r="M4" s="30"/>
      <c r="N4" s="30"/>
      <c r="O4" s="30"/>
      <c r="P4" s="30"/>
      <c r="Q4" s="30"/>
      <c r="R4" s="30"/>
      <c r="S4" s="30"/>
      <c r="T4" s="30"/>
      <c r="U4" s="30"/>
      <c r="V4" s="30"/>
      <c r="W4" s="30"/>
      <c r="X4" s="30"/>
      <c r="Y4" s="30"/>
      <c r="Z4" s="30"/>
    </row>
    <row r="5" customFormat="false" ht="18" hidden="false" customHeight="true" outlineLevel="0" collapsed="false">
      <c r="A5" s="25"/>
      <c r="B5" s="26"/>
      <c r="C5" s="32" t="s">
        <v>13</v>
      </c>
      <c r="D5" s="32"/>
      <c r="E5" s="33" t="s">
        <v>14</v>
      </c>
      <c r="F5" s="33"/>
      <c r="G5" s="37"/>
      <c r="H5" s="35"/>
      <c r="I5" s="35"/>
      <c r="J5" s="36"/>
      <c r="K5" s="31"/>
      <c r="L5" s="25"/>
      <c r="M5" s="30"/>
      <c r="N5" s="30"/>
      <c r="O5" s="30"/>
      <c r="P5" s="30"/>
      <c r="Q5" s="30"/>
      <c r="R5" s="30"/>
      <c r="S5" s="30"/>
      <c r="T5" s="30"/>
      <c r="U5" s="30"/>
      <c r="V5" s="30"/>
      <c r="W5" s="30"/>
      <c r="X5" s="30"/>
      <c r="Y5" s="30"/>
      <c r="Z5" s="30"/>
    </row>
    <row r="6" customFormat="false" ht="18" hidden="false" customHeight="true" outlineLevel="0" collapsed="false">
      <c r="A6" s="25"/>
      <c r="B6" s="26"/>
      <c r="C6" s="32" t="s">
        <v>15</v>
      </c>
      <c r="D6" s="32"/>
      <c r="E6" s="33" t="s">
        <v>16</v>
      </c>
      <c r="F6" s="33"/>
      <c r="G6" s="37"/>
      <c r="H6" s="35"/>
      <c r="I6" s="35"/>
      <c r="J6" s="38"/>
      <c r="K6" s="31"/>
      <c r="L6" s="25"/>
      <c r="M6" s="30"/>
      <c r="N6" s="30"/>
      <c r="O6" s="30"/>
      <c r="P6" s="30"/>
      <c r="Q6" s="30"/>
      <c r="R6" s="30"/>
      <c r="S6" s="30"/>
      <c r="T6" s="30"/>
      <c r="U6" s="30"/>
      <c r="V6" s="30"/>
      <c r="W6" s="30"/>
      <c r="X6" s="30"/>
      <c r="Y6" s="30"/>
      <c r="Z6" s="30"/>
    </row>
    <row r="7" customFormat="false" ht="18" hidden="false" customHeight="true" outlineLevel="0" collapsed="false">
      <c r="A7" s="25"/>
      <c r="B7" s="26"/>
      <c r="C7" s="32" t="s">
        <v>17</v>
      </c>
      <c r="D7" s="32"/>
      <c r="E7" s="33" t="s">
        <v>18</v>
      </c>
      <c r="F7" s="33"/>
      <c r="G7" s="37"/>
      <c r="H7" s="35"/>
      <c r="I7" s="35"/>
      <c r="J7" s="38"/>
      <c r="K7" s="31"/>
      <c r="L7" s="25"/>
      <c r="M7" s="30"/>
      <c r="N7" s="30"/>
      <c r="O7" s="30"/>
      <c r="P7" s="30"/>
      <c r="Q7" s="30"/>
      <c r="R7" s="30"/>
      <c r="S7" s="30"/>
      <c r="T7" s="30"/>
      <c r="U7" s="30"/>
      <c r="V7" s="30"/>
      <c r="W7" s="30"/>
      <c r="X7" s="30"/>
      <c r="Y7" s="30"/>
      <c r="Z7" s="30"/>
    </row>
    <row r="8" customFormat="false" ht="18" hidden="false" customHeight="true" outlineLevel="0" collapsed="false">
      <c r="A8" s="25"/>
      <c r="B8" s="26"/>
      <c r="C8" s="32" t="s">
        <v>19</v>
      </c>
      <c r="D8" s="32"/>
      <c r="E8" s="33" t="s">
        <v>20</v>
      </c>
      <c r="F8" s="33"/>
      <c r="G8" s="37"/>
      <c r="H8" s="35"/>
      <c r="I8" s="35"/>
      <c r="J8" s="38"/>
      <c r="K8" s="31"/>
      <c r="L8" s="25"/>
      <c r="M8" s="30"/>
      <c r="N8" s="30"/>
      <c r="O8" s="30"/>
      <c r="P8" s="30"/>
      <c r="Q8" s="30"/>
      <c r="R8" s="30"/>
      <c r="S8" s="30"/>
      <c r="T8" s="30"/>
      <c r="U8" s="30"/>
      <c r="V8" s="30"/>
      <c r="W8" s="30"/>
      <c r="X8" s="30"/>
      <c r="Y8" s="30"/>
      <c r="Z8" s="30"/>
    </row>
    <row r="9" customFormat="false" ht="18" hidden="false" customHeight="true" outlineLevel="0" collapsed="false">
      <c r="A9" s="25"/>
      <c r="B9" s="26"/>
      <c r="C9" s="32" t="s">
        <v>21</v>
      </c>
      <c r="D9" s="32"/>
      <c r="E9" s="33" t="s">
        <v>22</v>
      </c>
      <c r="F9" s="33"/>
      <c r="G9" s="37"/>
      <c r="H9" s="35"/>
      <c r="I9" s="35"/>
      <c r="J9" s="38"/>
      <c r="K9" s="31"/>
      <c r="L9" s="25"/>
      <c r="M9" s="30"/>
      <c r="N9" s="30"/>
      <c r="O9" s="30"/>
      <c r="P9" s="30"/>
      <c r="Q9" s="30"/>
      <c r="R9" s="30"/>
      <c r="S9" s="30"/>
      <c r="T9" s="30"/>
      <c r="U9" s="30"/>
      <c r="V9" s="30"/>
      <c r="W9" s="30"/>
      <c r="X9" s="30"/>
      <c r="Y9" s="30"/>
      <c r="Z9" s="30"/>
    </row>
    <row r="10" customFormat="false" ht="18" hidden="false" customHeight="true" outlineLevel="0" collapsed="false">
      <c r="A10" s="25"/>
      <c r="B10" s="26"/>
      <c r="C10" s="32" t="s">
        <v>23</v>
      </c>
      <c r="D10" s="32"/>
      <c r="E10" s="39" t="s">
        <v>24</v>
      </c>
      <c r="F10" s="39"/>
      <c r="G10" s="37"/>
      <c r="H10" s="35"/>
      <c r="I10" s="35"/>
      <c r="J10" s="38"/>
      <c r="K10" s="31"/>
      <c r="L10" s="25"/>
      <c r="M10" s="30"/>
      <c r="N10" s="30"/>
      <c r="O10" s="30"/>
      <c r="P10" s="30"/>
      <c r="Q10" s="30"/>
      <c r="R10" s="30"/>
      <c r="S10" s="30"/>
      <c r="T10" s="30"/>
      <c r="U10" s="30"/>
      <c r="V10" s="30"/>
      <c r="W10" s="30"/>
      <c r="X10" s="30"/>
      <c r="Y10" s="30"/>
      <c r="Z10" s="30"/>
    </row>
    <row r="11" customFormat="false" ht="18" hidden="false" customHeight="true" outlineLevel="0" collapsed="false">
      <c r="A11" s="25"/>
      <c r="B11" s="26"/>
      <c r="C11" s="32" t="s">
        <v>25</v>
      </c>
      <c r="D11" s="32"/>
      <c r="E11" s="39" t="s">
        <v>26</v>
      </c>
      <c r="F11" s="39"/>
      <c r="G11" s="37"/>
      <c r="H11" s="35"/>
      <c r="I11" s="35"/>
      <c r="J11" s="38"/>
      <c r="K11" s="31"/>
      <c r="L11" s="25"/>
      <c r="M11" s="30"/>
      <c r="N11" s="30"/>
      <c r="O11" s="30"/>
      <c r="P11" s="30"/>
      <c r="Q11" s="30"/>
      <c r="R11" s="30"/>
      <c r="S11" s="30"/>
      <c r="T11" s="30"/>
      <c r="U11" s="30"/>
      <c r="V11" s="30"/>
      <c r="W11" s="30"/>
      <c r="X11" s="30"/>
      <c r="Y11" s="30"/>
      <c r="Z11" s="30"/>
    </row>
    <row r="12" customFormat="false" ht="15" hidden="false" customHeight="true" outlineLevel="0" collapsed="false">
      <c r="A12" s="25"/>
      <c r="B12" s="26"/>
      <c r="C12" s="25"/>
      <c r="D12" s="25"/>
      <c r="E12" s="25"/>
      <c r="F12" s="25"/>
      <c r="G12" s="26"/>
      <c r="H12" s="25"/>
      <c r="I12" s="31"/>
      <c r="J12" s="31"/>
      <c r="K12" s="31"/>
      <c r="L12" s="31"/>
      <c r="M12" s="31"/>
      <c r="N12" s="25"/>
      <c r="O12" s="30"/>
      <c r="P12" s="30"/>
      <c r="Q12" s="30"/>
      <c r="R12" s="30"/>
      <c r="S12" s="30"/>
      <c r="T12" s="30"/>
      <c r="U12" s="30"/>
      <c r="V12" s="30"/>
      <c r="W12" s="30"/>
      <c r="X12" s="30"/>
      <c r="Y12" s="30"/>
      <c r="Z12" s="30"/>
    </row>
    <row r="13" customFormat="false" ht="15" hidden="false" customHeight="true" outlineLevel="0" collapsed="false">
      <c r="A13" s="25"/>
      <c r="C13" s="40" t="s">
        <v>27</v>
      </c>
      <c r="D13" s="40"/>
      <c r="E13" s="25"/>
      <c r="F13" s="25"/>
      <c r="G13" s="26"/>
      <c r="H13" s="25"/>
      <c r="I13" s="31"/>
      <c r="J13" s="31"/>
      <c r="K13" s="31"/>
      <c r="L13" s="31"/>
      <c r="M13" s="31"/>
      <c r="N13" s="25"/>
      <c r="O13" s="30"/>
      <c r="P13" s="30"/>
      <c r="Q13" s="30"/>
      <c r="R13" s="30"/>
      <c r="S13" s="30"/>
      <c r="T13" s="30"/>
      <c r="U13" s="30"/>
      <c r="V13" s="30"/>
      <c r="W13" s="30"/>
      <c r="X13" s="30"/>
      <c r="Y13" s="30"/>
      <c r="Z13" s="30"/>
    </row>
    <row r="14" customFormat="false" ht="15" hidden="false" customHeight="true" outlineLevel="0" collapsed="false">
      <c r="A14" s="25"/>
      <c r="B14" s="26"/>
      <c r="C14" s="25"/>
      <c r="D14" s="25"/>
      <c r="E14" s="25"/>
      <c r="F14" s="25"/>
      <c r="G14" s="26"/>
      <c r="H14" s="25"/>
      <c r="I14" s="31"/>
      <c r="J14" s="31"/>
      <c r="K14" s="31"/>
      <c r="L14" s="31"/>
      <c r="M14" s="31"/>
      <c r="N14" s="25"/>
      <c r="O14" s="30"/>
      <c r="P14" s="30"/>
      <c r="Q14" s="30"/>
      <c r="R14" s="30"/>
      <c r="S14" s="30"/>
      <c r="T14" s="30"/>
      <c r="U14" s="30"/>
      <c r="V14" s="30"/>
      <c r="W14" s="30"/>
      <c r="X14" s="30"/>
      <c r="Y14" s="30"/>
      <c r="Z14" s="30"/>
    </row>
    <row r="15" customFormat="false" ht="15" hidden="false" customHeight="true" outlineLevel="0" collapsed="false">
      <c r="A15" s="25"/>
      <c r="B15" s="26"/>
      <c r="C15" s="25"/>
      <c r="D15" s="25"/>
      <c r="E15" s="25"/>
      <c r="F15" s="25"/>
      <c r="G15" s="26"/>
      <c r="H15" s="25"/>
      <c r="I15" s="31"/>
      <c r="J15" s="31"/>
      <c r="K15" s="31"/>
      <c r="L15" s="31"/>
      <c r="M15" s="31"/>
      <c r="N15" s="25"/>
      <c r="O15" s="30"/>
      <c r="P15" s="30"/>
      <c r="Q15" s="30"/>
      <c r="R15" s="30"/>
      <c r="S15" s="30"/>
      <c r="T15" s="30"/>
      <c r="U15" s="30"/>
      <c r="V15" s="30"/>
      <c r="W15" s="30"/>
      <c r="X15" s="30"/>
      <c r="Y15" s="30"/>
      <c r="Z15" s="30"/>
    </row>
    <row r="16" customFormat="false" ht="15" hidden="false" customHeight="true" outlineLevel="0" collapsed="false">
      <c r="A16" s="25"/>
      <c r="B16" s="26"/>
      <c r="C16" s="25"/>
      <c r="D16" s="25"/>
      <c r="E16" s="25"/>
      <c r="F16" s="25"/>
      <c r="G16" s="26"/>
      <c r="H16" s="25"/>
      <c r="I16" s="31"/>
      <c r="J16" s="31"/>
      <c r="K16" s="31"/>
      <c r="L16" s="31"/>
      <c r="M16" s="31"/>
      <c r="N16" s="25"/>
      <c r="O16" s="30"/>
      <c r="P16" s="30"/>
      <c r="Q16" s="30"/>
      <c r="R16" s="30"/>
      <c r="S16" s="30"/>
      <c r="T16" s="30"/>
      <c r="U16" s="30"/>
      <c r="V16" s="30"/>
      <c r="W16" s="30"/>
      <c r="X16" s="30"/>
      <c r="Y16" s="30"/>
      <c r="Z16" s="30"/>
    </row>
    <row r="17" customFormat="false" ht="15" hidden="false" customHeight="true" outlineLevel="0" collapsed="false">
      <c r="A17" s="25"/>
      <c r="B17" s="26"/>
      <c r="C17" s="25"/>
      <c r="D17" s="25"/>
      <c r="E17" s="25"/>
      <c r="F17" s="25"/>
      <c r="G17" s="26"/>
      <c r="H17" s="25"/>
      <c r="I17" s="31"/>
      <c r="J17" s="31"/>
      <c r="K17" s="31"/>
      <c r="L17" s="31"/>
      <c r="M17" s="31"/>
      <c r="N17" s="25"/>
      <c r="O17" s="30"/>
      <c r="P17" s="30"/>
      <c r="Q17" s="30"/>
      <c r="R17" s="30"/>
      <c r="S17" s="30"/>
      <c r="T17" s="30"/>
      <c r="U17" s="30"/>
      <c r="V17" s="30"/>
      <c r="W17" s="30"/>
      <c r="X17" s="30"/>
      <c r="Y17" s="30"/>
      <c r="Z17" s="30"/>
    </row>
    <row r="18" customFormat="false" ht="15" hidden="false" customHeight="true" outlineLevel="0" collapsed="false">
      <c r="A18" s="25"/>
      <c r="B18" s="26"/>
      <c r="C18" s="25"/>
      <c r="D18" s="25"/>
      <c r="E18" s="25"/>
      <c r="F18" s="25"/>
      <c r="G18" s="26"/>
      <c r="H18" s="25"/>
      <c r="I18" s="31"/>
      <c r="J18" s="31"/>
      <c r="K18" s="31"/>
      <c r="L18" s="31"/>
      <c r="M18" s="31"/>
      <c r="N18" s="25"/>
      <c r="O18" s="30"/>
      <c r="P18" s="30"/>
      <c r="Q18" s="30"/>
      <c r="R18" s="30"/>
      <c r="S18" s="30"/>
      <c r="T18" s="30"/>
      <c r="U18" s="30"/>
      <c r="V18" s="30"/>
      <c r="W18" s="30"/>
      <c r="X18" s="30"/>
      <c r="Y18" s="30"/>
      <c r="Z18" s="30"/>
    </row>
    <row r="19" customFormat="false" ht="15" hidden="false" customHeight="true" outlineLevel="0" collapsed="false">
      <c r="A19" s="25"/>
      <c r="B19" s="26"/>
      <c r="C19" s="25"/>
      <c r="D19" s="25"/>
      <c r="E19" s="25"/>
      <c r="F19" s="25"/>
      <c r="G19" s="26"/>
      <c r="H19" s="25"/>
      <c r="I19" s="31"/>
      <c r="J19" s="31"/>
      <c r="K19" s="31"/>
      <c r="L19" s="31"/>
      <c r="M19" s="31"/>
      <c r="N19" s="25"/>
      <c r="O19" s="30"/>
      <c r="P19" s="30"/>
      <c r="Q19" s="30"/>
      <c r="R19" s="30"/>
      <c r="S19" s="30"/>
      <c r="T19" s="30"/>
      <c r="U19" s="30"/>
      <c r="V19" s="30"/>
      <c r="W19" s="30"/>
      <c r="X19" s="30"/>
      <c r="Y19" s="30"/>
      <c r="Z19" s="30"/>
    </row>
    <row r="20" customFormat="false" ht="15" hidden="false" customHeight="true" outlineLevel="0" collapsed="false">
      <c r="A20" s="25"/>
      <c r="B20" s="26"/>
      <c r="C20" s="25"/>
      <c r="D20" s="25"/>
      <c r="E20" s="25"/>
      <c r="F20" s="25"/>
      <c r="G20" s="26"/>
      <c r="H20" s="25"/>
      <c r="I20" s="31"/>
      <c r="J20" s="31"/>
      <c r="K20" s="31"/>
      <c r="L20" s="31"/>
      <c r="M20" s="31"/>
      <c r="N20" s="25"/>
      <c r="O20" s="30"/>
      <c r="P20" s="30"/>
      <c r="Q20" s="30"/>
      <c r="R20" s="30"/>
      <c r="S20" s="30"/>
      <c r="T20" s="30"/>
      <c r="U20" s="30"/>
      <c r="V20" s="30"/>
      <c r="W20" s="30"/>
      <c r="X20" s="30"/>
      <c r="Y20" s="30"/>
      <c r="Z20" s="30"/>
    </row>
    <row r="21" customFormat="false" ht="40.5" hidden="false" customHeight="true" outlineLevel="0" collapsed="false">
      <c r="A21" s="41"/>
      <c r="B21" s="42" t="s">
        <v>28</v>
      </c>
      <c r="C21" s="43" t="s">
        <v>29</v>
      </c>
      <c r="D21" s="43" t="s">
        <v>30</v>
      </c>
      <c r="E21" s="43" t="s">
        <v>31</v>
      </c>
      <c r="F21" s="43" t="s">
        <v>32</v>
      </c>
      <c r="G21" s="43" t="s">
        <v>33</v>
      </c>
      <c r="H21" s="43" t="s">
        <v>34</v>
      </c>
      <c r="I21" s="43" t="s">
        <v>35</v>
      </c>
      <c r="J21" s="43" t="s">
        <v>36</v>
      </c>
      <c r="K21" s="43" t="s">
        <v>37</v>
      </c>
      <c r="L21" s="43" t="s">
        <v>38</v>
      </c>
      <c r="M21" s="44"/>
      <c r="N21" s="44"/>
      <c r="O21" s="44"/>
      <c r="P21" s="44"/>
      <c r="Q21" s="44"/>
      <c r="R21" s="44"/>
      <c r="S21" s="44"/>
      <c r="T21" s="44"/>
      <c r="U21" s="44"/>
      <c r="V21" s="44"/>
      <c r="W21" s="44"/>
      <c r="X21" s="44"/>
      <c r="Y21" s="44"/>
      <c r="Z21" s="44"/>
    </row>
    <row r="22" customFormat="false" ht="30" hidden="false" customHeight="true" outlineLevel="0" collapsed="false">
      <c r="A22" s="25"/>
      <c r="B22" s="45" t="n">
        <v>1</v>
      </c>
      <c r="C22" s="46" t="n">
        <v>46041</v>
      </c>
      <c r="D22" s="47" t="s">
        <v>39</v>
      </c>
      <c r="E22" s="47" t="s">
        <v>40</v>
      </c>
      <c r="F22" s="47" t="s">
        <v>41</v>
      </c>
      <c r="G22" s="48" t="s">
        <v>42</v>
      </c>
      <c r="H22" s="49" t="s">
        <v>43</v>
      </c>
      <c r="I22" s="48" t="s">
        <v>44</v>
      </c>
      <c r="J22" s="49" t="s">
        <v>45</v>
      </c>
      <c r="K22" s="46"/>
      <c r="L22" s="47" t="s">
        <v>46</v>
      </c>
      <c r="M22" s="30"/>
      <c r="N22" s="30"/>
      <c r="O22" s="30"/>
      <c r="P22" s="30"/>
      <c r="Q22" s="30"/>
      <c r="R22" s="30"/>
      <c r="S22" s="30"/>
      <c r="T22" s="30"/>
      <c r="U22" s="30"/>
      <c r="V22" s="30"/>
      <c r="W22" s="30"/>
      <c r="X22" s="30"/>
      <c r="Y22" s="30"/>
      <c r="Z22" s="30"/>
    </row>
    <row r="23" customFormat="false" ht="30" hidden="false" customHeight="true" outlineLevel="0" collapsed="false">
      <c r="A23" s="25"/>
      <c r="B23" s="50" t="n">
        <v>2</v>
      </c>
      <c r="C23" s="46" t="n">
        <v>46041</v>
      </c>
      <c r="D23" s="47" t="s">
        <v>47</v>
      </c>
      <c r="E23" s="47" t="s">
        <v>48</v>
      </c>
      <c r="F23" s="47" t="s">
        <v>49</v>
      </c>
      <c r="G23" s="48" t="s">
        <v>42</v>
      </c>
      <c r="H23" s="51" t="s">
        <v>43</v>
      </c>
      <c r="I23" s="48" t="s">
        <v>50</v>
      </c>
      <c r="J23" s="49" t="s">
        <v>51</v>
      </c>
      <c r="K23" s="46" t="n">
        <v>46176</v>
      </c>
      <c r="L23" s="47"/>
      <c r="M23" s="30"/>
      <c r="N23" s="30"/>
      <c r="O23" s="30"/>
      <c r="P23" s="30"/>
      <c r="Q23" s="30"/>
      <c r="R23" s="30"/>
      <c r="S23" s="30"/>
      <c r="T23" s="30"/>
      <c r="U23" s="30"/>
      <c r="V23" s="30"/>
      <c r="W23" s="30"/>
      <c r="X23" s="30"/>
      <c r="Y23" s="30"/>
      <c r="Z23" s="30"/>
    </row>
    <row r="24" customFormat="false" ht="30" hidden="false" customHeight="true" outlineLevel="0" collapsed="false">
      <c r="A24" s="25"/>
      <c r="B24" s="45" t="n">
        <v>3</v>
      </c>
      <c r="C24" s="46" t="n">
        <v>46041</v>
      </c>
      <c r="D24" s="47" t="s">
        <v>47</v>
      </c>
      <c r="E24" s="47" t="s">
        <v>48</v>
      </c>
      <c r="F24" s="47" t="s">
        <v>52</v>
      </c>
      <c r="G24" s="48" t="s">
        <v>42</v>
      </c>
      <c r="H24" s="51" t="s">
        <v>43</v>
      </c>
      <c r="I24" s="48" t="s">
        <v>50</v>
      </c>
      <c r="J24" s="49" t="s">
        <v>53</v>
      </c>
      <c r="K24" s="46" t="n">
        <v>46176</v>
      </c>
      <c r="L24" s="47"/>
      <c r="M24" s="30"/>
      <c r="N24" s="30"/>
      <c r="O24" s="30"/>
      <c r="P24" s="30"/>
      <c r="Q24" s="30"/>
      <c r="R24" s="30"/>
      <c r="S24" s="30"/>
      <c r="T24" s="30"/>
      <c r="U24" s="30"/>
      <c r="V24" s="30"/>
      <c r="W24" s="30"/>
      <c r="X24" s="30"/>
      <c r="Y24" s="30"/>
      <c r="Z24" s="30"/>
    </row>
    <row r="25" customFormat="false" ht="30" hidden="true" customHeight="true" outlineLevel="0" collapsed="false">
      <c r="A25" s="25"/>
      <c r="B25" s="50" t="n">
        <v>4</v>
      </c>
      <c r="C25" s="46" t="n">
        <v>46041</v>
      </c>
      <c r="D25" s="47" t="s">
        <v>39</v>
      </c>
      <c r="E25" s="47" t="s">
        <v>54</v>
      </c>
      <c r="F25" s="47" t="s">
        <v>55</v>
      </c>
      <c r="G25" s="48" t="s">
        <v>56</v>
      </c>
      <c r="H25" s="51" t="s">
        <v>57</v>
      </c>
      <c r="I25" s="48" t="s">
        <v>44</v>
      </c>
      <c r="J25" s="49" t="s">
        <v>58</v>
      </c>
      <c r="K25" s="46"/>
      <c r="L25" s="47" t="s">
        <v>59</v>
      </c>
      <c r="M25" s="30"/>
      <c r="N25" s="30"/>
      <c r="O25" s="30"/>
      <c r="P25" s="30"/>
      <c r="Q25" s="30"/>
      <c r="R25" s="30"/>
      <c r="S25" s="30"/>
      <c r="T25" s="30"/>
      <c r="U25" s="30"/>
      <c r="V25" s="30"/>
      <c r="W25" s="30"/>
      <c r="X25" s="30"/>
      <c r="Y25" s="30"/>
      <c r="Z25" s="30"/>
    </row>
    <row r="26" customFormat="false" ht="30" hidden="true" customHeight="true" outlineLevel="0" collapsed="false">
      <c r="A26" s="25"/>
      <c r="B26" s="45" t="n">
        <v>5</v>
      </c>
      <c r="C26" s="46" t="n">
        <v>46041</v>
      </c>
      <c r="D26" s="47" t="s">
        <v>39</v>
      </c>
      <c r="E26" s="47" t="s">
        <v>60</v>
      </c>
      <c r="F26" s="47" t="s">
        <v>61</v>
      </c>
      <c r="G26" s="48" t="s">
        <v>56</v>
      </c>
      <c r="H26" s="51" t="s">
        <v>62</v>
      </c>
      <c r="I26" s="48" t="s">
        <v>50</v>
      </c>
      <c r="J26" s="49" t="s">
        <v>58</v>
      </c>
      <c r="K26" s="46" t="n">
        <v>46087</v>
      </c>
      <c r="L26" s="47"/>
      <c r="M26" s="30"/>
      <c r="N26" s="30"/>
      <c r="O26" s="30"/>
      <c r="P26" s="30"/>
      <c r="Q26" s="30"/>
      <c r="R26" s="30"/>
      <c r="S26" s="30"/>
      <c r="T26" s="30"/>
      <c r="U26" s="30"/>
      <c r="V26" s="30"/>
      <c r="W26" s="30"/>
      <c r="X26" s="30"/>
      <c r="Y26" s="30"/>
      <c r="Z26" s="30"/>
    </row>
    <row r="27" customFormat="false" ht="30" hidden="false" customHeight="true" outlineLevel="0" collapsed="false">
      <c r="A27" s="25"/>
      <c r="B27" s="50" t="n">
        <v>6</v>
      </c>
      <c r="C27" s="46" t="n">
        <v>46041</v>
      </c>
      <c r="D27" s="47" t="s">
        <v>47</v>
      </c>
      <c r="E27" s="47" t="s">
        <v>63</v>
      </c>
      <c r="F27" s="47" t="s">
        <v>64</v>
      </c>
      <c r="G27" s="48" t="s">
        <v>42</v>
      </c>
      <c r="H27" s="51" t="s">
        <v>43</v>
      </c>
      <c r="I27" s="48" t="s">
        <v>50</v>
      </c>
      <c r="J27" s="49" t="s">
        <v>65</v>
      </c>
      <c r="K27" s="46" t="n">
        <v>46176</v>
      </c>
      <c r="L27" s="47"/>
      <c r="M27" s="30"/>
      <c r="N27" s="30"/>
      <c r="O27" s="30"/>
      <c r="P27" s="30"/>
      <c r="Q27" s="30"/>
      <c r="R27" s="30"/>
      <c r="S27" s="30"/>
      <c r="T27" s="30"/>
      <c r="U27" s="30"/>
      <c r="V27" s="30"/>
      <c r="W27" s="30"/>
      <c r="X27" s="30"/>
      <c r="Y27" s="30"/>
      <c r="Z27" s="30"/>
    </row>
    <row r="28" customFormat="false" ht="30" hidden="true" customHeight="true" outlineLevel="0" collapsed="false">
      <c r="A28" s="25"/>
      <c r="B28" s="45" t="n">
        <v>7</v>
      </c>
      <c r="C28" s="46" t="n">
        <v>46041</v>
      </c>
      <c r="D28" s="47" t="s">
        <v>39</v>
      </c>
      <c r="E28" s="47" t="s">
        <v>60</v>
      </c>
      <c r="F28" s="47" t="s">
        <v>66</v>
      </c>
      <c r="G28" s="48" t="s">
        <v>56</v>
      </c>
      <c r="H28" s="51" t="s">
        <v>62</v>
      </c>
      <c r="I28" s="48" t="s">
        <v>50</v>
      </c>
      <c r="J28" s="49" t="s">
        <v>67</v>
      </c>
      <c r="K28" s="46" t="n">
        <v>46087</v>
      </c>
      <c r="L28" s="47"/>
      <c r="M28" s="30"/>
      <c r="N28" s="30"/>
      <c r="O28" s="30"/>
      <c r="P28" s="30"/>
      <c r="Q28" s="30"/>
      <c r="R28" s="30"/>
      <c r="S28" s="30"/>
      <c r="T28" s="30"/>
      <c r="U28" s="30"/>
      <c r="V28" s="30"/>
      <c r="W28" s="30"/>
      <c r="X28" s="30"/>
      <c r="Y28" s="30"/>
      <c r="Z28" s="30"/>
    </row>
    <row r="29" customFormat="false" ht="30" hidden="true" customHeight="true" outlineLevel="0" collapsed="false">
      <c r="A29" s="25"/>
      <c r="B29" s="50" t="n">
        <v>8</v>
      </c>
      <c r="C29" s="46" t="n">
        <v>46041</v>
      </c>
      <c r="D29" s="47" t="s">
        <v>39</v>
      </c>
      <c r="E29" s="47" t="s">
        <v>60</v>
      </c>
      <c r="F29" s="47" t="s">
        <v>68</v>
      </c>
      <c r="G29" s="48" t="s">
        <v>56</v>
      </c>
      <c r="H29" s="51" t="s">
        <v>62</v>
      </c>
      <c r="I29" s="48" t="s">
        <v>50</v>
      </c>
      <c r="J29" s="49" t="s">
        <v>67</v>
      </c>
      <c r="K29" s="46" t="n">
        <v>46087</v>
      </c>
      <c r="L29" s="47"/>
      <c r="M29" s="30"/>
      <c r="N29" s="30"/>
      <c r="O29" s="30"/>
      <c r="P29" s="30"/>
      <c r="Q29" s="30"/>
      <c r="R29" s="30"/>
      <c r="S29" s="30"/>
      <c r="T29" s="30"/>
      <c r="U29" s="30"/>
      <c r="V29" s="30"/>
      <c r="W29" s="30"/>
      <c r="X29" s="30"/>
      <c r="Y29" s="30"/>
      <c r="Z29" s="30"/>
    </row>
    <row r="30" customFormat="false" ht="30" hidden="true" customHeight="true" outlineLevel="0" collapsed="false">
      <c r="A30" s="25"/>
      <c r="B30" s="45" t="n">
        <v>9</v>
      </c>
      <c r="C30" s="46" t="n">
        <v>46041</v>
      </c>
      <c r="D30" s="47" t="s">
        <v>39</v>
      </c>
      <c r="E30" s="47" t="s">
        <v>69</v>
      </c>
      <c r="F30" s="47" t="s">
        <v>70</v>
      </c>
      <c r="G30" s="48" t="s">
        <v>56</v>
      </c>
      <c r="H30" s="51" t="s">
        <v>62</v>
      </c>
      <c r="I30" s="48" t="s">
        <v>50</v>
      </c>
      <c r="J30" s="49" t="s">
        <v>71</v>
      </c>
      <c r="K30" s="46" t="n">
        <v>46087</v>
      </c>
      <c r="L30" s="47"/>
      <c r="M30" s="30"/>
      <c r="N30" s="30"/>
      <c r="O30" s="30"/>
      <c r="P30" s="30"/>
      <c r="Q30" s="30"/>
      <c r="R30" s="30"/>
      <c r="S30" s="30"/>
      <c r="T30" s="30"/>
      <c r="U30" s="30"/>
      <c r="V30" s="30"/>
      <c r="W30" s="30"/>
      <c r="X30" s="30"/>
      <c r="Y30" s="30"/>
      <c r="Z30" s="30"/>
    </row>
    <row r="31" customFormat="false" ht="30" hidden="true" customHeight="true" outlineLevel="0" collapsed="false">
      <c r="A31" s="25"/>
      <c r="B31" s="50" t="n">
        <v>10</v>
      </c>
      <c r="C31" s="46" t="n">
        <v>46041</v>
      </c>
      <c r="D31" s="47" t="s">
        <v>39</v>
      </c>
      <c r="E31" s="47" t="s">
        <v>60</v>
      </c>
      <c r="F31" s="47" t="s">
        <v>72</v>
      </c>
      <c r="G31" s="48" t="s">
        <v>56</v>
      </c>
      <c r="H31" s="51" t="s">
        <v>57</v>
      </c>
      <c r="I31" s="48" t="s">
        <v>44</v>
      </c>
      <c r="J31" s="49" t="s">
        <v>73</v>
      </c>
      <c r="K31" s="46"/>
      <c r="L31" s="47" t="s">
        <v>59</v>
      </c>
      <c r="M31" s="30"/>
      <c r="N31" s="30"/>
      <c r="O31" s="30"/>
      <c r="P31" s="30"/>
      <c r="Q31" s="30"/>
      <c r="R31" s="30"/>
      <c r="S31" s="30"/>
      <c r="T31" s="30"/>
      <c r="U31" s="30"/>
      <c r="V31" s="30"/>
      <c r="W31" s="30"/>
      <c r="X31" s="30"/>
      <c r="Y31" s="30"/>
      <c r="Z31" s="30"/>
    </row>
    <row r="32" customFormat="false" ht="30" hidden="true" customHeight="true" outlineLevel="0" collapsed="false">
      <c r="A32" s="25"/>
      <c r="B32" s="45" t="n">
        <v>11</v>
      </c>
      <c r="C32" s="46" t="n">
        <v>46041</v>
      </c>
      <c r="D32" s="47" t="s">
        <v>39</v>
      </c>
      <c r="E32" s="47" t="s">
        <v>74</v>
      </c>
      <c r="F32" s="47" t="s">
        <v>75</v>
      </c>
      <c r="G32" s="48" t="s">
        <v>56</v>
      </c>
      <c r="H32" s="51" t="s">
        <v>57</v>
      </c>
      <c r="I32" s="48" t="s">
        <v>44</v>
      </c>
      <c r="J32" s="49" t="s">
        <v>73</v>
      </c>
      <c r="K32" s="46"/>
      <c r="L32" s="47" t="s">
        <v>76</v>
      </c>
      <c r="M32" s="30"/>
      <c r="N32" s="30"/>
      <c r="O32" s="30"/>
      <c r="P32" s="30"/>
      <c r="Q32" s="30"/>
      <c r="R32" s="30"/>
      <c r="S32" s="30"/>
      <c r="T32" s="30"/>
      <c r="U32" s="30"/>
      <c r="V32" s="30"/>
      <c r="W32" s="30"/>
      <c r="X32" s="30"/>
      <c r="Y32" s="30"/>
      <c r="Z32" s="30"/>
    </row>
    <row r="33" customFormat="false" ht="30" hidden="true" customHeight="true" outlineLevel="0" collapsed="false">
      <c r="A33" s="25"/>
      <c r="B33" s="50" t="n">
        <v>12</v>
      </c>
      <c r="C33" s="46" t="n">
        <v>46041</v>
      </c>
      <c r="D33" s="47" t="s">
        <v>39</v>
      </c>
      <c r="E33" s="47" t="s">
        <v>77</v>
      </c>
      <c r="F33" s="47" t="s">
        <v>78</v>
      </c>
      <c r="G33" s="48" t="s">
        <v>56</v>
      </c>
      <c r="H33" s="51" t="s">
        <v>57</v>
      </c>
      <c r="I33" s="48" t="s">
        <v>44</v>
      </c>
      <c r="J33" s="49" t="s">
        <v>79</v>
      </c>
      <c r="K33" s="46"/>
      <c r="L33" s="47" t="s">
        <v>80</v>
      </c>
      <c r="M33" s="30"/>
      <c r="N33" s="30"/>
      <c r="O33" s="30"/>
      <c r="P33" s="30"/>
      <c r="Q33" s="30"/>
      <c r="R33" s="30"/>
      <c r="S33" s="30"/>
      <c r="T33" s="30"/>
      <c r="U33" s="30"/>
      <c r="V33" s="30"/>
      <c r="W33" s="30"/>
      <c r="X33" s="30"/>
      <c r="Y33" s="30"/>
      <c r="Z33" s="30"/>
    </row>
    <row r="34" customFormat="false" ht="30" hidden="true" customHeight="true" outlineLevel="0" collapsed="false">
      <c r="A34" s="25"/>
      <c r="B34" s="45" t="n">
        <v>13</v>
      </c>
      <c r="C34" s="46" t="n">
        <v>46041</v>
      </c>
      <c r="D34" s="47" t="s">
        <v>39</v>
      </c>
      <c r="E34" s="47" t="s">
        <v>81</v>
      </c>
      <c r="F34" s="47" t="s">
        <v>82</v>
      </c>
      <c r="G34" s="48" t="s">
        <v>56</v>
      </c>
      <c r="H34" s="51" t="s">
        <v>62</v>
      </c>
      <c r="I34" s="48" t="s">
        <v>50</v>
      </c>
      <c r="J34" s="49" t="s">
        <v>73</v>
      </c>
      <c r="K34" s="46" t="n">
        <v>46087</v>
      </c>
      <c r="L34" s="47"/>
      <c r="M34" s="30"/>
      <c r="N34" s="30"/>
      <c r="O34" s="30"/>
      <c r="P34" s="30"/>
      <c r="Q34" s="30"/>
      <c r="R34" s="30"/>
      <c r="S34" s="30"/>
      <c r="T34" s="30"/>
      <c r="U34" s="30"/>
      <c r="V34" s="30"/>
      <c r="W34" s="30"/>
      <c r="X34" s="30"/>
      <c r="Y34" s="30"/>
      <c r="Z34" s="30"/>
    </row>
    <row r="35" customFormat="false" ht="30" hidden="true" customHeight="true" outlineLevel="0" collapsed="false">
      <c r="A35" s="25"/>
      <c r="B35" s="50" t="n">
        <v>14</v>
      </c>
      <c r="C35" s="46" t="n">
        <v>46041</v>
      </c>
      <c r="D35" s="47" t="s">
        <v>39</v>
      </c>
      <c r="E35" s="47" t="s">
        <v>83</v>
      </c>
      <c r="F35" s="47" t="s">
        <v>84</v>
      </c>
      <c r="G35" s="48" t="s">
        <v>85</v>
      </c>
      <c r="H35" s="51" t="s">
        <v>57</v>
      </c>
      <c r="I35" s="48" t="s">
        <v>44</v>
      </c>
      <c r="J35" s="49" t="s">
        <v>45</v>
      </c>
      <c r="K35" s="46"/>
      <c r="L35" s="47" t="s">
        <v>80</v>
      </c>
      <c r="M35" s="30"/>
      <c r="N35" s="30"/>
      <c r="O35" s="30"/>
      <c r="P35" s="30"/>
      <c r="Q35" s="30"/>
      <c r="R35" s="30"/>
      <c r="S35" s="30"/>
      <c r="T35" s="30"/>
      <c r="U35" s="30"/>
      <c r="V35" s="30"/>
      <c r="W35" s="30"/>
      <c r="X35" s="30"/>
      <c r="Y35" s="30"/>
      <c r="Z35" s="30"/>
    </row>
    <row r="36" customFormat="false" ht="30" hidden="true" customHeight="true" outlineLevel="0" collapsed="false">
      <c r="A36" s="25"/>
      <c r="B36" s="45" t="n">
        <v>15</v>
      </c>
      <c r="C36" s="46" t="n">
        <v>46041</v>
      </c>
      <c r="D36" s="47" t="s">
        <v>86</v>
      </c>
      <c r="E36" s="47" t="s">
        <v>87</v>
      </c>
      <c r="F36" s="47" t="s">
        <v>88</v>
      </c>
      <c r="G36" s="48" t="s">
        <v>42</v>
      </c>
      <c r="H36" s="51" t="s">
        <v>89</v>
      </c>
      <c r="I36" s="48" t="s">
        <v>50</v>
      </c>
      <c r="J36" s="49" t="s">
        <v>73</v>
      </c>
      <c r="K36" s="46" t="n">
        <v>46127</v>
      </c>
      <c r="L36" s="47"/>
      <c r="M36" s="30"/>
      <c r="N36" s="30"/>
      <c r="O36" s="30"/>
      <c r="P36" s="30"/>
      <c r="Q36" s="30"/>
      <c r="R36" s="30"/>
      <c r="S36" s="30"/>
      <c r="T36" s="30"/>
      <c r="U36" s="30"/>
      <c r="V36" s="30"/>
      <c r="W36" s="30"/>
      <c r="X36" s="30"/>
      <c r="Y36" s="30"/>
      <c r="Z36" s="30"/>
    </row>
    <row r="37" customFormat="false" ht="30" hidden="true" customHeight="true" outlineLevel="0" collapsed="false">
      <c r="A37" s="25"/>
      <c r="B37" s="50" t="n">
        <v>16</v>
      </c>
      <c r="C37" s="46" t="n">
        <v>46041</v>
      </c>
      <c r="D37" s="47" t="s">
        <v>39</v>
      </c>
      <c r="E37" s="47" t="s">
        <v>90</v>
      </c>
      <c r="F37" s="47" t="s">
        <v>91</v>
      </c>
      <c r="G37" s="48" t="s">
        <v>42</v>
      </c>
      <c r="H37" s="51" t="s">
        <v>57</v>
      </c>
      <c r="I37" s="48" t="s">
        <v>44</v>
      </c>
      <c r="J37" s="49" t="s">
        <v>92</v>
      </c>
      <c r="K37" s="46"/>
      <c r="L37" s="47" t="s">
        <v>93</v>
      </c>
      <c r="M37" s="30"/>
      <c r="N37" s="30"/>
      <c r="O37" s="30"/>
      <c r="P37" s="30"/>
      <c r="Q37" s="30"/>
      <c r="R37" s="30"/>
      <c r="S37" s="30"/>
      <c r="T37" s="30"/>
      <c r="U37" s="30"/>
      <c r="V37" s="30"/>
      <c r="W37" s="30"/>
      <c r="X37" s="30"/>
      <c r="Y37" s="30"/>
      <c r="Z37" s="30"/>
    </row>
    <row r="38" customFormat="false" ht="30" hidden="true" customHeight="true" outlineLevel="0" collapsed="false">
      <c r="A38" s="25"/>
      <c r="B38" s="45" t="n">
        <v>17</v>
      </c>
      <c r="C38" s="46" t="n">
        <v>46041</v>
      </c>
      <c r="D38" s="47" t="s">
        <v>39</v>
      </c>
      <c r="E38" s="47" t="s">
        <v>40</v>
      </c>
      <c r="F38" s="47" t="s">
        <v>94</v>
      </c>
      <c r="G38" s="48" t="s">
        <v>42</v>
      </c>
      <c r="H38" s="51" t="s">
        <v>57</v>
      </c>
      <c r="I38" s="48" t="s">
        <v>44</v>
      </c>
      <c r="J38" s="49" t="s">
        <v>92</v>
      </c>
      <c r="K38" s="46"/>
      <c r="L38" s="47" t="s">
        <v>59</v>
      </c>
      <c r="M38" s="30"/>
      <c r="N38" s="30"/>
      <c r="O38" s="30"/>
      <c r="P38" s="30"/>
      <c r="Q38" s="30"/>
      <c r="R38" s="30"/>
      <c r="S38" s="30"/>
      <c r="T38" s="30"/>
      <c r="U38" s="30"/>
      <c r="V38" s="30"/>
      <c r="W38" s="30"/>
      <c r="X38" s="30"/>
      <c r="Y38" s="30"/>
      <c r="Z38" s="30"/>
    </row>
    <row r="39" customFormat="false" ht="30" hidden="true" customHeight="true" outlineLevel="0" collapsed="false">
      <c r="A39" s="25"/>
      <c r="B39" s="50" t="n">
        <v>18</v>
      </c>
      <c r="C39" s="46" t="n">
        <v>46041</v>
      </c>
      <c r="D39" s="47" t="s">
        <v>39</v>
      </c>
      <c r="E39" s="47" t="s">
        <v>95</v>
      </c>
      <c r="F39" s="47" t="s">
        <v>96</v>
      </c>
      <c r="G39" s="48" t="s">
        <v>42</v>
      </c>
      <c r="H39" s="51" t="s">
        <v>57</v>
      </c>
      <c r="I39" s="48" t="s">
        <v>44</v>
      </c>
      <c r="J39" s="49" t="s">
        <v>73</v>
      </c>
      <c r="K39" s="46"/>
      <c r="L39" s="47" t="s">
        <v>59</v>
      </c>
      <c r="M39" s="30"/>
      <c r="N39" s="30"/>
      <c r="O39" s="30"/>
      <c r="P39" s="30"/>
      <c r="Q39" s="30"/>
      <c r="R39" s="30"/>
      <c r="S39" s="30"/>
      <c r="T39" s="30"/>
      <c r="U39" s="30"/>
      <c r="V39" s="30"/>
      <c r="W39" s="30"/>
      <c r="X39" s="30"/>
      <c r="Y39" s="30"/>
      <c r="Z39" s="30"/>
    </row>
    <row r="40" customFormat="false" ht="30" hidden="false" customHeight="true" outlineLevel="0" collapsed="false">
      <c r="A40" s="25"/>
      <c r="B40" s="45" t="n">
        <v>19</v>
      </c>
      <c r="C40" s="46" t="n">
        <v>46041</v>
      </c>
      <c r="D40" s="47" t="s">
        <v>39</v>
      </c>
      <c r="E40" s="47" t="s">
        <v>97</v>
      </c>
      <c r="F40" s="47" t="s">
        <v>98</v>
      </c>
      <c r="G40" s="48" t="s">
        <v>42</v>
      </c>
      <c r="H40" s="51" t="s">
        <v>43</v>
      </c>
      <c r="I40" s="48" t="s">
        <v>50</v>
      </c>
      <c r="J40" s="49" t="s">
        <v>73</v>
      </c>
      <c r="K40" s="46" t="n">
        <v>46176</v>
      </c>
      <c r="L40" s="47"/>
      <c r="M40" s="30"/>
      <c r="N40" s="30"/>
      <c r="O40" s="30"/>
      <c r="P40" s="30"/>
      <c r="Q40" s="30"/>
      <c r="R40" s="30"/>
      <c r="S40" s="30"/>
      <c r="T40" s="30"/>
      <c r="U40" s="30"/>
      <c r="V40" s="30"/>
      <c r="W40" s="30"/>
      <c r="X40" s="30"/>
      <c r="Y40" s="30"/>
      <c r="Z40" s="30"/>
    </row>
    <row r="41" customFormat="false" ht="30" hidden="true" customHeight="true" outlineLevel="0" collapsed="false">
      <c r="A41" s="25"/>
      <c r="B41" s="50" t="n">
        <v>20</v>
      </c>
      <c r="C41" s="46" t="n">
        <v>46041</v>
      </c>
      <c r="D41" s="47" t="s">
        <v>99</v>
      </c>
      <c r="E41" s="47" t="s">
        <v>100</v>
      </c>
      <c r="F41" s="47" t="s">
        <v>101</v>
      </c>
      <c r="G41" s="48" t="s">
        <v>42</v>
      </c>
      <c r="H41" s="51" t="s">
        <v>62</v>
      </c>
      <c r="I41" s="48" t="s">
        <v>102</v>
      </c>
      <c r="J41" s="49" t="s">
        <v>103</v>
      </c>
      <c r="K41" s="46" t="n">
        <v>46087</v>
      </c>
      <c r="L41" s="47"/>
      <c r="M41" s="30"/>
      <c r="N41" s="30"/>
      <c r="O41" s="30"/>
      <c r="P41" s="30"/>
      <c r="Q41" s="30"/>
      <c r="R41" s="30"/>
      <c r="S41" s="30"/>
      <c r="T41" s="30"/>
      <c r="U41" s="30"/>
      <c r="V41" s="30"/>
      <c r="W41" s="30"/>
      <c r="X41" s="30"/>
      <c r="Y41" s="30"/>
      <c r="Z41" s="30"/>
    </row>
    <row r="42" customFormat="false" ht="30" hidden="true" customHeight="true" outlineLevel="0" collapsed="false">
      <c r="A42" s="25"/>
      <c r="B42" s="45" t="n">
        <v>21</v>
      </c>
      <c r="C42" s="46" t="n">
        <v>46041</v>
      </c>
      <c r="D42" s="47" t="s">
        <v>99</v>
      </c>
      <c r="E42" s="47" t="s">
        <v>104</v>
      </c>
      <c r="F42" s="47" t="s">
        <v>105</v>
      </c>
      <c r="G42" s="48" t="s">
        <v>42</v>
      </c>
      <c r="H42" s="51" t="s">
        <v>62</v>
      </c>
      <c r="I42" s="48" t="s">
        <v>50</v>
      </c>
      <c r="J42" s="49" t="s">
        <v>103</v>
      </c>
      <c r="K42" s="46" t="n">
        <v>46087</v>
      </c>
      <c r="L42" s="47"/>
      <c r="M42" s="30"/>
      <c r="N42" s="30"/>
      <c r="O42" s="30"/>
      <c r="P42" s="30"/>
      <c r="Q42" s="30"/>
      <c r="R42" s="30"/>
      <c r="S42" s="30"/>
      <c r="T42" s="30"/>
      <c r="U42" s="30"/>
      <c r="V42" s="30"/>
      <c r="W42" s="30"/>
      <c r="X42" s="30"/>
      <c r="Y42" s="30"/>
      <c r="Z42" s="30"/>
    </row>
    <row r="43" customFormat="false" ht="30" hidden="true" customHeight="true" outlineLevel="0" collapsed="false">
      <c r="A43" s="25"/>
      <c r="B43" s="50" t="n">
        <v>22</v>
      </c>
      <c r="C43" s="46" t="n">
        <v>46041</v>
      </c>
      <c r="D43" s="47" t="s">
        <v>106</v>
      </c>
      <c r="E43" s="47" t="s">
        <v>107</v>
      </c>
      <c r="F43" s="47" t="s">
        <v>108</v>
      </c>
      <c r="G43" s="48" t="s">
        <v>56</v>
      </c>
      <c r="H43" s="51" t="s">
        <v>89</v>
      </c>
      <c r="I43" s="48" t="s">
        <v>50</v>
      </c>
      <c r="J43" s="49" t="s">
        <v>103</v>
      </c>
      <c r="K43" s="46" t="n">
        <v>46127</v>
      </c>
      <c r="L43" s="47"/>
      <c r="M43" s="30"/>
      <c r="N43" s="30"/>
      <c r="O43" s="30"/>
      <c r="P43" s="30"/>
      <c r="Q43" s="30"/>
      <c r="R43" s="30"/>
      <c r="S43" s="30"/>
      <c r="T43" s="30"/>
      <c r="U43" s="30"/>
      <c r="V43" s="30"/>
      <c r="W43" s="30"/>
      <c r="X43" s="30"/>
      <c r="Y43" s="30"/>
      <c r="Z43" s="30"/>
    </row>
    <row r="44" customFormat="false" ht="30" hidden="true" customHeight="true" outlineLevel="0" collapsed="false">
      <c r="A44" s="25"/>
      <c r="B44" s="45" t="n">
        <v>23</v>
      </c>
      <c r="C44" s="46" t="n">
        <v>46041</v>
      </c>
      <c r="D44" s="47" t="s">
        <v>106</v>
      </c>
      <c r="E44" s="47" t="s">
        <v>109</v>
      </c>
      <c r="F44" s="47" t="s">
        <v>110</v>
      </c>
      <c r="G44" s="48" t="s">
        <v>56</v>
      </c>
      <c r="H44" s="51" t="s">
        <v>89</v>
      </c>
      <c r="I44" s="48" t="s">
        <v>50</v>
      </c>
      <c r="J44" s="49" t="s">
        <v>103</v>
      </c>
      <c r="K44" s="46" t="n">
        <v>46127</v>
      </c>
      <c r="L44" s="47"/>
      <c r="M44" s="30"/>
      <c r="N44" s="30"/>
      <c r="O44" s="30"/>
      <c r="P44" s="30"/>
      <c r="Q44" s="30"/>
      <c r="R44" s="30"/>
      <c r="S44" s="30"/>
      <c r="T44" s="30"/>
      <c r="U44" s="30"/>
      <c r="V44" s="30"/>
      <c r="W44" s="30"/>
      <c r="X44" s="30"/>
      <c r="Y44" s="30"/>
      <c r="Z44" s="30"/>
    </row>
    <row r="45" customFormat="false" ht="30" hidden="false" customHeight="true" outlineLevel="0" collapsed="false">
      <c r="A45" s="25"/>
      <c r="B45" s="50" t="n">
        <v>24</v>
      </c>
      <c r="C45" s="46" t="n">
        <v>46041</v>
      </c>
      <c r="D45" s="47" t="s">
        <v>39</v>
      </c>
      <c r="E45" s="47" t="s">
        <v>77</v>
      </c>
      <c r="F45" s="47" t="s">
        <v>111</v>
      </c>
      <c r="G45" s="48" t="s">
        <v>56</v>
      </c>
      <c r="H45" s="51" t="s">
        <v>43</v>
      </c>
      <c r="I45" s="48" t="s">
        <v>50</v>
      </c>
      <c r="J45" s="49" t="s">
        <v>112</v>
      </c>
      <c r="K45" s="46" t="n">
        <v>46176</v>
      </c>
      <c r="L45" s="47"/>
      <c r="M45" s="30"/>
      <c r="N45" s="30"/>
      <c r="O45" s="30"/>
      <c r="P45" s="30"/>
      <c r="Q45" s="30"/>
      <c r="R45" s="30"/>
      <c r="S45" s="30"/>
      <c r="T45" s="30"/>
      <c r="U45" s="30"/>
      <c r="V45" s="30"/>
      <c r="W45" s="30"/>
      <c r="X45" s="30"/>
      <c r="Y45" s="30"/>
      <c r="Z45" s="30"/>
    </row>
    <row r="46" customFormat="false" ht="30" hidden="true" customHeight="true" outlineLevel="0" collapsed="false">
      <c r="A46" s="25"/>
      <c r="B46" s="45" t="n">
        <v>25</v>
      </c>
      <c r="C46" s="46" t="n">
        <v>46041</v>
      </c>
      <c r="D46" s="47" t="s">
        <v>39</v>
      </c>
      <c r="E46" s="47" t="s">
        <v>81</v>
      </c>
      <c r="F46" s="47" t="s">
        <v>113</v>
      </c>
      <c r="G46" s="48" t="s">
        <v>42</v>
      </c>
      <c r="H46" s="51" t="s">
        <v>62</v>
      </c>
      <c r="I46" s="48" t="s">
        <v>50</v>
      </c>
      <c r="J46" s="49" t="s">
        <v>45</v>
      </c>
      <c r="K46" s="46" t="n">
        <v>46087</v>
      </c>
      <c r="L46" s="47"/>
      <c r="M46" s="30"/>
      <c r="N46" s="30"/>
      <c r="O46" s="30"/>
      <c r="P46" s="30"/>
      <c r="Q46" s="30"/>
      <c r="R46" s="30"/>
      <c r="S46" s="30"/>
      <c r="T46" s="30"/>
      <c r="U46" s="30"/>
      <c r="V46" s="30"/>
      <c r="W46" s="30"/>
      <c r="X46" s="30"/>
      <c r="Y46" s="30"/>
      <c r="Z46" s="30"/>
    </row>
    <row r="47" customFormat="false" ht="30" hidden="true" customHeight="true" outlineLevel="0" collapsed="false">
      <c r="A47" s="25"/>
      <c r="B47" s="50" t="n">
        <v>26</v>
      </c>
      <c r="C47" s="46" t="n">
        <v>46041</v>
      </c>
      <c r="D47" s="47" t="s">
        <v>114</v>
      </c>
      <c r="E47" s="47" t="s">
        <v>115</v>
      </c>
      <c r="F47" s="47" t="s">
        <v>116</v>
      </c>
      <c r="G47" s="48" t="s">
        <v>42</v>
      </c>
      <c r="H47" s="51" t="s">
        <v>89</v>
      </c>
      <c r="I47" s="48" t="s">
        <v>50</v>
      </c>
      <c r="J47" s="49" t="s">
        <v>73</v>
      </c>
      <c r="K47" s="46" t="n">
        <v>46127</v>
      </c>
      <c r="L47" s="47"/>
      <c r="M47" s="30"/>
      <c r="N47" s="30"/>
      <c r="O47" s="30"/>
      <c r="P47" s="30"/>
      <c r="Q47" s="30"/>
      <c r="R47" s="30"/>
      <c r="S47" s="30"/>
      <c r="T47" s="30"/>
      <c r="U47" s="30"/>
      <c r="V47" s="30"/>
      <c r="W47" s="30"/>
      <c r="X47" s="30"/>
      <c r="Y47" s="30"/>
      <c r="Z47" s="30"/>
    </row>
    <row r="48" customFormat="false" ht="30" hidden="true" customHeight="true" outlineLevel="0" collapsed="false">
      <c r="A48" s="25"/>
      <c r="B48" s="45" t="n">
        <v>27</v>
      </c>
      <c r="C48" s="46" t="n">
        <v>46041</v>
      </c>
      <c r="D48" s="47" t="s">
        <v>39</v>
      </c>
      <c r="E48" s="47" t="s">
        <v>69</v>
      </c>
      <c r="F48" s="47" t="s">
        <v>117</v>
      </c>
      <c r="G48" s="48" t="s">
        <v>42</v>
      </c>
      <c r="H48" s="51" t="s">
        <v>57</v>
      </c>
      <c r="I48" s="48" t="s">
        <v>44</v>
      </c>
      <c r="J48" s="49" t="s">
        <v>118</v>
      </c>
      <c r="K48" s="46"/>
      <c r="L48" s="47" t="s">
        <v>93</v>
      </c>
      <c r="M48" s="30"/>
      <c r="N48" s="30"/>
      <c r="O48" s="30"/>
      <c r="P48" s="30"/>
      <c r="Q48" s="30"/>
      <c r="R48" s="30"/>
      <c r="S48" s="30"/>
      <c r="T48" s="30"/>
      <c r="U48" s="30"/>
      <c r="V48" s="30"/>
      <c r="W48" s="30"/>
      <c r="X48" s="30"/>
      <c r="Y48" s="30"/>
      <c r="Z48" s="30"/>
    </row>
    <row r="49" customFormat="false" ht="30" hidden="true" customHeight="true" outlineLevel="0" collapsed="false">
      <c r="A49" s="25"/>
      <c r="B49" s="50" t="n">
        <v>28</v>
      </c>
      <c r="C49" s="46" t="n">
        <v>46084</v>
      </c>
      <c r="D49" s="47" t="s">
        <v>119</v>
      </c>
      <c r="E49" s="47" t="s">
        <v>120</v>
      </c>
      <c r="F49" s="47" t="s">
        <v>121</v>
      </c>
      <c r="G49" s="48" t="s">
        <v>56</v>
      </c>
      <c r="H49" s="51" t="s">
        <v>89</v>
      </c>
      <c r="I49" s="48" t="s">
        <v>50</v>
      </c>
      <c r="J49" s="49" t="s">
        <v>73</v>
      </c>
      <c r="K49" s="46" t="n">
        <v>46127</v>
      </c>
      <c r="L49" s="47"/>
      <c r="M49" s="30"/>
      <c r="N49" s="30"/>
      <c r="O49" s="30"/>
      <c r="P49" s="30"/>
      <c r="Q49" s="30"/>
      <c r="R49" s="30"/>
      <c r="S49" s="30"/>
      <c r="T49" s="30"/>
      <c r="U49" s="30"/>
      <c r="V49" s="30"/>
      <c r="W49" s="30"/>
      <c r="X49" s="30"/>
      <c r="Y49" s="30"/>
      <c r="Z49" s="30"/>
    </row>
    <row r="50" customFormat="false" ht="30" hidden="true" customHeight="true" outlineLevel="0" collapsed="false">
      <c r="A50" s="25"/>
      <c r="B50" s="45" t="n">
        <v>29</v>
      </c>
      <c r="C50" s="46" t="n">
        <v>46084</v>
      </c>
      <c r="D50" s="47" t="s">
        <v>119</v>
      </c>
      <c r="E50" s="47" t="s">
        <v>122</v>
      </c>
      <c r="F50" s="47" t="s">
        <v>123</v>
      </c>
      <c r="G50" s="48" t="s">
        <v>42</v>
      </c>
      <c r="H50" s="51" t="s">
        <v>89</v>
      </c>
      <c r="I50" s="48" t="s">
        <v>50</v>
      </c>
      <c r="J50" s="49" t="s">
        <v>118</v>
      </c>
      <c r="K50" s="46" t="n">
        <v>46127</v>
      </c>
      <c r="L50" s="47"/>
      <c r="M50" s="30"/>
      <c r="N50" s="30"/>
      <c r="O50" s="30"/>
      <c r="P50" s="30"/>
      <c r="Q50" s="30"/>
      <c r="R50" s="30"/>
      <c r="S50" s="30"/>
      <c r="T50" s="30"/>
      <c r="U50" s="30"/>
      <c r="V50" s="30"/>
      <c r="W50" s="30"/>
      <c r="X50" s="30"/>
      <c r="Y50" s="30"/>
      <c r="Z50" s="30"/>
    </row>
    <row r="51" customFormat="false" ht="30" hidden="false" customHeight="true" outlineLevel="0" collapsed="false">
      <c r="A51" s="25"/>
      <c r="B51" s="50" t="n">
        <v>30</v>
      </c>
      <c r="C51" s="46" t="n">
        <v>46129</v>
      </c>
      <c r="D51" s="47" t="s">
        <v>124</v>
      </c>
      <c r="E51" s="47" t="s">
        <v>125</v>
      </c>
      <c r="F51" s="47" t="s">
        <v>126</v>
      </c>
      <c r="G51" s="48" t="s">
        <v>56</v>
      </c>
      <c r="H51" s="51" t="s">
        <v>43</v>
      </c>
      <c r="I51" s="48" t="s">
        <v>44</v>
      </c>
      <c r="J51" s="49" t="s">
        <v>127</v>
      </c>
      <c r="K51" s="46"/>
      <c r="L51" s="47" t="s">
        <v>128</v>
      </c>
      <c r="M51" s="30"/>
      <c r="N51" s="30"/>
      <c r="O51" s="30"/>
      <c r="P51" s="30"/>
      <c r="Q51" s="30"/>
      <c r="R51" s="30"/>
      <c r="S51" s="30"/>
      <c r="T51" s="30"/>
      <c r="U51" s="30"/>
      <c r="V51" s="30"/>
      <c r="W51" s="30"/>
      <c r="X51" s="30"/>
      <c r="Y51" s="30"/>
      <c r="Z51" s="30"/>
    </row>
    <row r="52" customFormat="false" ht="30" hidden="false" customHeight="true" outlineLevel="0" collapsed="false">
      <c r="A52" s="25"/>
      <c r="B52" s="45" t="n">
        <v>31</v>
      </c>
      <c r="C52" s="46" t="n">
        <v>46129</v>
      </c>
      <c r="D52" s="47" t="s">
        <v>124</v>
      </c>
      <c r="E52" s="47" t="s">
        <v>129</v>
      </c>
      <c r="F52" s="47" t="s">
        <v>130</v>
      </c>
      <c r="G52" s="48" t="s">
        <v>42</v>
      </c>
      <c r="H52" s="51" t="s">
        <v>43</v>
      </c>
      <c r="I52" s="48" t="s">
        <v>50</v>
      </c>
      <c r="J52" s="49" t="s">
        <v>127</v>
      </c>
      <c r="K52" s="46" t="n">
        <v>46176</v>
      </c>
      <c r="L52" s="47"/>
      <c r="M52" s="30"/>
      <c r="N52" s="30"/>
      <c r="O52" s="30"/>
      <c r="P52" s="30"/>
      <c r="Q52" s="30"/>
      <c r="R52" s="30"/>
      <c r="S52" s="30"/>
      <c r="T52" s="30"/>
      <c r="U52" s="30"/>
      <c r="V52" s="30"/>
      <c r="W52" s="30"/>
      <c r="X52" s="30"/>
      <c r="Y52" s="30"/>
      <c r="Z52" s="30"/>
    </row>
    <row r="53" customFormat="false" ht="30" hidden="false" customHeight="true" outlineLevel="0" collapsed="false">
      <c r="A53" s="25"/>
      <c r="B53" s="50" t="n">
        <v>32</v>
      </c>
      <c r="C53" s="46" t="n">
        <v>46129</v>
      </c>
      <c r="D53" s="47" t="s">
        <v>131</v>
      </c>
      <c r="E53" s="47" t="s">
        <v>132</v>
      </c>
      <c r="F53" s="47" t="s">
        <v>133</v>
      </c>
      <c r="G53" s="48" t="s">
        <v>56</v>
      </c>
      <c r="H53" s="51" t="s">
        <v>43</v>
      </c>
      <c r="I53" s="48" t="s">
        <v>50</v>
      </c>
      <c r="J53" s="49" t="s">
        <v>134</v>
      </c>
      <c r="K53" s="46" t="n">
        <v>46176</v>
      </c>
      <c r="L53" s="47"/>
      <c r="M53" s="30"/>
      <c r="N53" s="30"/>
      <c r="O53" s="30"/>
      <c r="P53" s="30"/>
      <c r="Q53" s="30"/>
      <c r="R53" s="30"/>
      <c r="S53" s="30"/>
      <c r="T53" s="30"/>
      <c r="U53" s="30"/>
      <c r="V53" s="30"/>
      <c r="W53" s="30"/>
      <c r="X53" s="30"/>
      <c r="Y53" s="30"/>
      <c r="Z53" s="30"/>
    </row>
    <row r="54" customFormat="false" ht="30" hidden="false" customHeight="true" outlineLevel="0" collapsed="false">
      <c r="A54" s="25"/>
      <c r="B54" s="45" t="n">
        <v>33</v>
      </c>
      <c r="C54" s="46" t="n">
        <v>46129</v>
      </c>
      <c r="D54" s="47" t="s">
        <v>39</v>
      </c>
      <c r="E54" s="47" t="s">
        <v>135</v>
      </c>
      <c r="F54" s="47" t="s">
        <v>136</v>
      </c>
      <c r="G54" s="48" t="s">
        <v>42</v>
      </c>
      <c r="H54" s="51" t="s">
        <v>43</v>
      </c>
      <c r="I54" s="48" t="s">
        <v>50</v>
      </c>
      <c r="J54" s="49" t="s">
        <v>73</v>
      </c>
      <c r="K54" s="46" t="n">
        <v>46176</v>
      </c>
      <c r="L54" s="47"/>
      <c r="M54" s="30"/>
      <c r="N54" s="30"/>
      <c r="O54" s="30"/>
      <c r="P54" s="30"/>
      <c r="Q54" s="30"/>
      <c r="R54" s="30"/>
      <c r="S54" s="30"/>
      <c r="T54" s="30"/>
      <c r="U54" s="30"/>
      <c r="V54" s="30"/>
      <c r="W54" s="30"/>
      <c r="X54" s="30"/>
      <c r="Y54" s="30"/>
      <c r="Z54" s="30"/>
    </row>
    <row r="55" customFormat="false" ht="30" hidden="false" customHeight="true" outlineLevel="0" collapsed="false">
      <c r="A55" s="25"/>
      <c r="B55" s="50" t="n">
        <v>34</v>
      </c>
      <c r="C55" s="46" t="n">
        <v>46129</v>
      </c>
      <c r="D55" s="47" t="s">
        <v>39</v>
      </c>
      <c r="E55" s="47" t="s">
        <v>90</v>
      </c>
      <c r="F55" s="47" t="s">
        <v>137</v>
      </c>
      <c r="G55" s="48" t="s">
        <v>42</v>
      </c>
      <c r="H55" s="51" t="s">
        <v>43</v>
      </c>
      <c r="I55" s="48" t="s">
        <v>50</v>
      </c>
      <c r="J55" s="49" t="s">
        <v>127</v>
      </c>
      <c r="K55" s="46" t="n">
        <v>46176</v>
      </c>
      <c r="L55" s="47"/>
      <c r="M55" s="30"/>
      <c r="N55" s="30"/>
      <c r="O55" s="30"/>
      <c r="P55" s="30"/>
      <c r="Q55" s="30"/>
      <c r="R55" s="30"/>
      <c r="S55" s="30"/>
      <c r="T55" s="30"/>
      <c r="U55" s="30"/>
      <c r="V55" s="30"/>
      <c r="W55" s="30"/>
      <c r="X55" s="30"/>
      <c r="Y55" s="30"/>
      <c r="Z55" s="30"/>
    </row>
    <row r="56" customFormat="false" ht="30" hidden="false" customHeight="true" outlineLevel="0" collapsed="false">
      <c r="A56" s="25"/>
      <c r="B56" s="45" t="n">
        <v>35</v>
      </c>
      <c r="C56" s="46" t="n">
        <v>46129</v>
      </c>
      <c r="D56" s="47" t="s">
        <v>39</v>
      </c>
      <c r="E56" s="47" t="s">
        <v>135</v>
      </c>
      <c r="F56" s="47" t="s">
        <v>138</v>
      </c>
      <c r="G56" s="50" t="s">
        <v>42</v>
      </c>
      <c r="H56" s="51" t="s">
        <v>43</v>
      </c>
      <c r="I56" s="50" t="s">
        <v>44</v>
      </c>
      <c r="J56" s="49" t="s">
        <v>73</v>
      </c>
      <c r="K56" s="46"/>
      <c r="L56" s="47" t="s">
        <v>139</v>
      </c>
      <c r="M56" s="26"/>
      <c r="N56" s="25"/>
      <c r="O56" s="30"/>
      <c r="P56" s="30"/>
      <c r="Q56" s="30"/>
      <c r="R56" s="30"/>
      <c r="S56" s="30"/>
      <c r="T56" s="30"/>
      <c r="U56" s="30"/>
      <c r="V56" s="30"/>
      <c r="W56" s="30"/>
      <c r="X56" s="25"/>
      <c r="Y56" s="25"/>
      <c r="Z56" s="25"/>
    </row>
    <row r="57" customFormat="false" ht="30" hidden="false" customHeight="true" outlineLevel="0" collapsed="false">
      <c r="A57" s="25"/>
      <c r="B57" s="50" t="n">
        <v>36</v>
      </c>
      <c r="C57" s="46" t="n">
        <v>46181</v>
      </c>
      <c r="D57" s="30" t="s">
        <v>140</v>
      </c>
      <c r="E57" s="30" t="s">
        <v>141</v>
      </c>
      <c r="F57" s="30" t="s">
        <v>142</v>
      </c>
      <c r="G57" s="48" t="s">
        <v>56</v>
      </c>
      <c r="H57" s="52" t="s">
        <v>57</v>
      </c>
      <c r="I57" s="48" t="s">
        <v>50</v>
      </c>
      <c r="J57" s="52" t="s">
        <v>143</v>
      </c>
      <c r="K57" s="46" t="n">
        <v>46225</v>
      </c>
      <c r="L57" s="52"/>
      <c r="M57" s="26"/>
      <c r="N57" s="25"/>
      <c r="O57" s="30"/>
      <c r="P57" s="30"/>
      <c r="Q57" s="30"/>
      <c r="R57" s="30"/>
      <c r="S57" s="30"/>
      <c r="T57" s="30"/>
      <c r="U57" s="30"/>
      <c r="V57" s="30"/>
      <c r="W57" s="30"/>
      <c r="X57" s="25"/>
      <c r="Y57" s="25"/>
      <c r="Z57" s="25"/>
    </row>
    <row r="58" customFormat="false" ht="30" hidden="false" customHeight="true" outlineLevel="0" collapsed="false">
      <c r="A58" s="25"/>
      <c r="B58" s="45" t="n">
        <v>37</v>
      </c>
      <c r="C58" s="46" t="n">
        <v>46129</v>
      </c>
      <c r="D58" s="30" t="s">
        <v>144</v>
      </c>
      <c r="E58" s="30" t="s">
        <v>145</v>
      </c>
      <c r="F58" s="30" t="s">
        <v>146</v>
      </c>
      <c r="G58" s="48" t="s">
        <v>56</v>
      </c>
      <c r="H58" s="52" t="s">
        <v>57</v>
      </c>
      <c r="I58" s="48" t="s">
        <v>50</v>
      </c>
      <c r="J58" s="49" t="s">
        <v>73</v>
      </c>
      <c r="K58" s="46" t="n">
        <v>46225</v>
      </c>
      <c r="L58" s="52"/>
      <c r="M58" s="26"/>
      <c r="N58" s="25"/>
      <c r="O58" s="30"/>
      <c r="P58" s="30"/>
      <c r="Q58" s="30"/>
      <c r="R58" s="30"/>
      <c r="S58" s="30"/>
      <c r="T58" s="30"/>
      <c r="U58" s="30"/>
      <c r="V58" s="30"/>
      <c r="W58" s="30"/>
      <c r="X58" s="25"/>
      <c r="Y58" s="25"/>
      <c r="Z58" s="25"/>
    </row>
    <row r="59" customFormat="false" ht="30" hidden="false" customHeight="true" outlineLevel="0" collapsed="false">
      <c r="A59" s="25"/>
      <c r="B59" s="50" t="n">
        <v>38</v>
      </c>
      <c r="C59" s="46" t="n">
        <v>46129</v>
      </c>
      <c r="D59" s="30" t="s">
        <v>144</v>
      </c>
      <c r="E59" s="30" t="s">
        <v>145</v>
      </c>
      <c r="F59" s="30" t="s">
        <v>147</v>
      </c>
      <c r="G59" s="48" t="s">
        <v>56</v>
      </c>
      <c r="H59" s="52" t="s">
        <v>57</v>
      </c>
      <c r="I59" s="48" t="s">
        <v>50</v>
      </c>
      <c r="J59" s="49" t="s">
        <v>73</v>
      </c>
      <c r="K59" s="46" t="n">
        <v>46225</v>
      </c>
      <c r="L59" s="52"/>
      <c r="M59" s="26"/>
      <c r="N59" s="25"/>
      <c r="O59" s="30"/>
      <c r="P59" s="30"/>
      <c r="Q59" s="30"/>
      <c r="R59" s="30"/>
      <c r="S59" s="30"/>
      <c r="T59" s="30"/>
      <c r="U59" s="30"/>
      <c r="V59" s="30"/>
      <c r="W59" s="30"/>
      <c r="X59" s="25"/>
      <c r="Y59" s="25"/>
      <c r="Z59" s="25"/>
    </row>
    <row r="60" customFormat="false" ht="30" hidden="false" customHeight="true" outlineLevel="0" collapsed="false">
      <c r="A60" s="25"/>
      <c r="B60" s="45" t="n">
        <v>39</v>
      </c>
      <c r="C60" s="46" t="n">
        <v>46129</v>
      </c>
      <c r="D60" s="30" t="s">
        <v>144</v>
      </c>
      <c r="E60" s="30" t="s">
        <v>145</v>
      </c>
      <c r="F60" s="30" t="s">
        <v>148</v>
      </c>
      <c r="G60" s="53" t="s">
        <v>42</v>
      </c>
      <c r="H60" s="52" t="s">
        <v>57</v>
      </c>
      <c r="I60" s="48" t="s">
        <v>50</v>
      </c>
      <c r="J60" s="52" t="s">
        <v>149</v>
      </c>
      <c r="K60" s="46" t="n">
        <v>46225</v>
      </c>
      <c r="L60" s="52"/>
      <c r="M60" s="26"/>
      <c r="N60" s="25"/>
      <c r="O60" s="30"/>
      <c r="P60" s="30"/>
      <c r="Q60" s="30"/>
      <c r="R60" s="30"/>
      <c r="S60" s="30"/>
      <c r="T60" s="30"/>
      <c r="U60" s="30"/>
      <c r="V60" s="30"/>
      <c r="W60" s="30"/>
      <c r="X60" s="25"/>
      <c r="Y60" s="25"/>
      <c r="Z60" s="25"/>
    </row>
    <row r="61" customFormat="false" ht="30" hidden="false" customHeight="true" outlineLevel="0" collapsed="false">
      <c r="A61" s="25"/>
      <c r="B61" s="50" t="n">
        <v>40</v>
      </c>
      <c r="C61" s="46" t="n">
        <v>46181</v>
      </c>
      <c r="D61" s="30" t="s">
        <v>150</v>
      </c>
      <c r="E61" s="30" t="s">
        <v>47</v>
      </c>
      <c r="F61" s="30" t="s">
        <v>151</v>
      </c>
      <c r="G61" s="53" t="s">
        <v>42</v>
      </c>
      <c r="H61" s="52" t="s">
        <v>57</v>
      </c>
      <c r="I61" s="48" t="s">
        <v>50</v>
      </c>
      <c r="J61" s="49" t="s">
        <v>73</v>
      </c>
      <c r="K61" s="46" t="n">
        <v>46225</v>
      </c>
      <c r="L61" s="52"/>
      <c r="M61" s="26"/>
      <c r="N61" s="25"/>
      <c r="O61" s="30"/>
      <c r="P61" s="30"/>
      <c r="Q61" s="30"/>
      <c r="R61" s="30"/>
      <c r="S61" s="30"/>
      <c r="T61" s="30"/>
      <c r="U61" s="30"/>
      <c r="V61" s="30"/>
      <c r="W61" s="30"/>
      <c r="X61" s="25"/>
      <c r="Y61" s="25"/>
      <c r="Z61" s="25"/>
    </row>
    <row r="62" customFormat="false" ht="30" hidden="false" customHeight="true" outlineLevel="0" collapsed="false">
      <c r="A62" s="25"/>
      <c r="B62" s="45" t="n">
        <v>41</v>
      </c>
      <c r="C62" s="46" t="n">
        <v>46181</v>
      </c>
      <c r="D62" s="30" t="s">
        <v>152</v>
      </c>
      <c r="E62" s="30" t="s">
        <v>141</v>
      </c>
      <c r="F62" s="30" t="s">
        <v>153</v>
      </c>
      <c r="G62" s="53" t="s">
        <v>42</v>
      </c>
      <c r="H62" s="52" t="s">
        <v>57</v>
      </c>
      <c r="I62" s="48" t="s">
        <v>50</v>
      </c>
      <c r="J62" s="52" t="s">
        <v>143</v>
      </c>
      <c r="K62" s="46" t="n">
        <v>46225</v>
      </c>
      <c r="L62" s="52"/>
      <c r="M62" s="26"/>
      <c r="N62" s="25"/>
      <c r="O62" s="30"/>
      <c r="P62" s="30"/>
      <c r="Q62" s="30"/>
      <c r="R62" s="30"/>
      <c r="S62" s="30"/>
      <c r="T62" s="30"/>
      <c r="U62" s="30"/>
      <c r="V62" s="30"/>
      <c r="W62" s="30"/>
      <c r="X62" s="25"/>
      <c r="Y62" s="25"/>
      <c r="Z62" s="25"/>
    </row>
    <row r="63" customFormat="false" ht="30" hidden="false" customHeight="true" outlineLevel="0" collapsed="false">
      <c r="A63" s="25"/>
      <c r="B63" s="26"/>
      <c r="C63" s="25"/>
      <c r="D63" s="25"/>
      <c r="E63" s="25"/>
      <c r="F63" s="25"/>
      <c r="G63" s="26"/>
      <c r="H63" s="25"/>
      <c r="I63" s="26"/>
      <c r="J63" s="26"/>
      <c r="K63" s="26"/>
      <c r="L63" s="26"/>
      <c r="M63" s="26"/>
      <c r="N63" s="25"/>
      <c r="O63" s="30"/>
      <c r="P63" s="30"/>
      <c r="Q63" s="30"/>
      <c r="R63" s="30"/>
      <c r="S63" s="30"/>
      <c r="T63" s="30"/>
      <c r="U63" s="30"/>
      <c r="V63" s="30"/>
      <c r="W63" s="30"/>
      <c r="X63" s="25"/>
      <c r="Y63" s="25"/>
      <c r="Z63" s="25"/>
    </row>
    <row r="64" customFormat="false" ht="30" hidden="false" customHeight="true" outlineLevel="0" collapsed="false">
      <c r="A64" s="25"/>
      <c r="B64" s="26"/>
      <c r="C64" s="25"/>
      <c r="D64" s="25"/>
      <c r="E64" s="25"/>
      <c r="F64" s="25"/>
      <c r="G64" s="26"/>
      <c r="H64" s="25"/>
      <c r="I64" s="26"/>
      <c r="J64" s="26"/>
      <c r="K64" s="26"/>
      <c r="L64" s="26"/>
      <c r="M64" s="26"/>
      <c r="N64" s="25"/>
      <c r="O64" s="30"/>
      <c r="P64" s="30"/>
      <c r="Q64" s="30"/>
      <c r="R64" s="30"/>
      <c r="S64" s="30"/>
      <c r="T64" s="30"/>
      <c r="U64" s="30"/>
      <c r="V64" s="30"/>
      <c r="W64" s="30"/>
      <c r="X64" s="25"/>
      <c r="Y64" s="25"/>
      <c r="Z64" s="25"/>
    </row>
    <row r="65" customFormat="false" ht="30" hidden="false" customHeight="true" outlineLevel="0" collapsed="false">
      <c r="A65" s="25"/>
      <c r="B65" s="26"/>
      <c r="C65" s="25"/>
      <c r="D65" s="25"/>
      <c r="E65" s="25"/>
      <c r="F65" s="25"/>
      <c r="G65" s="26"/>
      <c r="H65" s="25"/>
      <c r="I65" s="26"/>
      <c r="J65" s="26"/>
      <c r="K65" s="26"/>
      <c r="L65" s="26"/>
      <c r="M65" s="26"/>
      <c r="N65" s="25"/>
      <c r="O65" s="30"/>
      <c r="P65" s="30"/>
      <c r="Q65" s="30"/>
      <c r="R65" s="30"/>
      <c r="S65" s="30"/>
      <c r="T65" s="30"/>
      <c r="U65" s="30"/>
      <c r="V65" s="30"/>
      <c r="W65" s="30"/>
      <c r="X65" s="25"/>
      <c r="Y65" s="25"/>
      <c r="Z65" s="25"/>
    </row>
    <row r="66" customFormat="false" ht="30" hidden="false" customHeight="true" outlineLevel="0" collapsed="false">
      <c r="A66" s="25"/>
      <c r="B66" s="26"/>
      <c r="C66" s="25"/>
      <c r="D66" s="25"/>
      <c r="E66" s="25"/>
      <c r="F66" s="25"/>
      <c r="G66" s="26"/>
      <c r="H66" s="25"/>
      <c r="I66" s="26"/>
      <c r="J66" s="26"/>
      <c r="K66" s="26"/>
      <c r="L66" s="26"/>
      <c r="M66" s="26"/>
      <c r="N66" s="25"/>
      <c r="O66" s="30"/>
      <c r="P66" s="30"/>
      <c r="Q66" s="30"/>
      <c r="R66" s="30"/>
      <c r="S66" s="30"/>
      <c r="T66" s="30"/>
      <c r="U66" s="30"/>
      <c r="V66" s="30"/>
      <c r="W66" s="30"/>
      <c r="X66" s="25"/>
      <c r="Y66" s="25"/>
      <c r="Z66" s="25"/>
    </row>
    <row r="67" customFormat="false" ht="30" hidden="false" customHeight="true" outlineLevel="0" collapsed="false">
      <c r="A67" s="25"/>
      <c r="B67" s="26"/>
      <c r="C67" s="25"/>
      <c r="D67" s="25"/>
      <c r="E67" s="25"/>
      <c r="F67" s="25"/>
      <c r="G67" s="26"/>
      <c r="H67" s="25"/>
      <c r="I67" s="26"/>
      <c r="J67" s="26"/>
      <c r="K67" s="26"/>
      <c r="L67" s="26"/>
      <c r="M67" s="26"/>
      <c r="N67" s="25"/>
      <c r="O67" s="30"/>
      <c r="P67" s="30"/>
      <c r="Q67" s="30"/>
      <c r="R67" s="30"/>
      <c r="S67" s="30"/>
      <c r="T67" s="30"/>
      <c r="U67" s="30"/>
      <c r="V67" s="30"/>
      <c r="W67" s="30"/>
      <c r="X67" s="25"/>
      <c r="Y67" s="25"/>
      <c r="Z67" s="25"/>
    </row>
    <row r="68" customFormat="false" ht="30" hidden="false" customHeight="true" outlineLevel="0" collapsed="false">
      <c r="A68" s="25"/>
      <c r="B68" s="26"/>
      <c r="C68" s="25"/>
      <c r="D68" s="25"/>
      <c r="E68" s="25"/>
      <c r="F68" s="25"/>
      <c r="G68" s="26"/>
      <c r="H68" s="25"/>
      <c r="I68" s="26"/>
      <c r="J68" s="26"/>
      <c r="K68" s="26"/>
      <c r="L68" s="26"/>
      <c r="M68" s="26"/>
      <c r="N68" s="25"/>
      <c r="O68" s="30"/>
      <c r="P68" s="30"/>
      <c r="Q68" s="30"/>
      <c r="R68" s="30"/>
      <c r="S68" s="30"/>
      <c r="T68" s="30"/>
      <c r="U68" s="30"/>
      <c r="V68" s="30"/>
      <c r="W68" s="30"/>
      <c r="X68" s="25"/>
      <c r="Y68" s="25"/>
      <c r="Z68" s="25"/>
    </row>
    <row r="69" customFormat="false" ht="30" hidden="false" customHeight="true" outlineLevel="0" collapsed="false">
      <c r="A69" s="25"/>
      <c r="B69" s="26"/>
      <c r="C69" s="25"/>
      <c r="D69" s="25"/>
      <c r="E69" s="25"/>
      <c r="F69" s="25"/>
      <c r="G69" s="26"/>
      <c r="H69" s="25"/>
      <c r="I69" s="26"/>
      <c r="J69" s="26"/>
      <c r="K69" s="26"/>
      <c r="L69" s="26"/>
      <c r="M69" s="26"/>
      <c r="N69" s="25"/>
      <c r="O69" s="30"/>
      <c r="P69" s="30"/>
      <c r="Q69" s="30"/>
      <c r="R69" s="30"/>
      <c r="S69" s="30"/>
      <c r="T69" s="30"/>
      <c r="U69" s="30"/>
      <c r="V69" s="30"/>
      <c r="W69" s="30"/>
      <c r="X69" s="25"/>
      <c r="Y69" s="25"/>
      <c r="Z69" s="25"/>
    </row>
    <row r="70" customFormat="false" ht="30" hidden="false" customHeight="true" outlineLevel="0" collapsed="false">
      <c r="A70" s="25"/>
      <c r="B70" s="26"/>
      <c r="C70" s="25"/>
      <c r="D70" s="25"/>
      <c r="E70" s="25"/>
      <c r="F70" s="25"/>
      <c r="G70" s="26"/>
      <c r="H70" s="25"/>
      <c r="I70" s="26"/>
      <c r="J70" s="26"/>
      <c r="K70" s="26"/>
      <c r="L70" s="26"/>
      <c r="M70" s="26"/>
      <c r="N70" s="25"/>
      <c r="O70" s="30"/>
      <c r="P70" s="30"/>
      <c r="Q70" s="30"/>
      <c r="R70" s="30"/>
      <c r="S70" s="30"/>
      <c r="T70" s="30"/>
      <c r="U70" s="30"/>
      <c r="V70" s="30"/>
      <c r="W70" s="30"/>
      <c r="X70" s="25"/>
      <c r="Y70" s="25"/>
      <c r="Z70" s="25"/>
    </row>
    <row r="71" customFormat="false" ht="30" hidden="false" customHeight="true" outlineLevel="0" collapsed="false">
      <c r="A71" s="25"/>
      <c r="B71" s="26"/>
      <c r="C71" s="25"/>
      <c r="D71" s="25"/>
      <c r="E71" s="25"/>
      <c r="F71" s="25"/>
      <c r="G71" s="26"/>
      <c r="H71" s="25"/>
      <c r="I71" s="26"/>
      <c r="J71" s="26"/>
      <c r="K71" s="26"/>
      <c r="L71" s="26"/>
      <c r="M71" s="26"/>
      <c r="N71" s="25"/>
      <c r="O71" s="30"/>
      <c r="P71" s="30"/>
      <c r="Q71" s="30"/>
      <c r="R71" s="30"/>
      <c r="S71" s="30"/>
      <c r="T71" s="30"/>
      <c r="U71" s="30"/>
      <c r="V71" s="30"/>
      <c r="W71" s="30"/>
      <c r="X71" s="25"/>
      <c r="Y71" s="25"/>
      <c r="Z71" s="25"/>
    </row>
    <row r="72" customFormat="false" ht="30" hidden="false" customHeight="true" outlineLevel="0" collapsed="false">
      <c r="A72" s="25"/>
      <c r="B72" s="26"/>
      <c r="C72" s="25"/>
      <c r="D72" s="25"/>
      <c r="E72" s="25"/>
      <c r="F72" s="25"/>
      <c r="G72" s="26"/>
      <c r="H72" s="25"/>
      <c r="I72" s="26"/>
      <c r="J72" s="26"/>
      <c r="K72" s="26"/>
      <c r="L72" s="26"/>
      <c r="M72" s="26"/>
      <c r="N72" s="25"/>
      <c r="O72" s="30"/>
      <c r="P72" s="30"/>
      <c r="Q72" s="30"/>
      <c r="R72" s="30"/>
      <c r="S72" s="30"/>
      <c r="T72" s="30"/>
      <c r="U72" s="30"/>
      <c r="V72" s="30"/>
      <c r="W72" s="30"/>
      <c r="X72" s="25"/>
      <c r="Y72" s="25"/>
      <c r="Z72" s="25"/>
    </row>
    <row r="73" customFormat="false" ht="30" hidden="false" customHeight="true" outlineLevel="0" collapsed="false">
      <c r="A73" s="25"/>
      <c r="B73" s="26"/>
      <c r="C73" s="25"/>
      <c r="D73" s="25"/>
      <c r="E73" s="25"/>
      <c r="F73" s="25"/>
      <c r="G73" s="26"/>
      <c r="H73" s="25"/>
      <c r="I73" s="26"/>
      <c r="J73" s="26"/>
      <c r="K73" s="26"/>
      <c r="L73" s="26"/>
      <c r="M73" s="26"/>
      <c r="N73" s="25"/>
      <c r="O73" s="30"/>
      <c r="P73" s="30"/>
      <c r="Q73" s="30"/>
      <c r="R73" s="30"/>
      <c r="S73" s="30"/>
      <c r="T73" s="30"/>
      <c r="U73" s="30"/>
      <c r="V73" s="30"/>
      <c r="W73" s="30"/>
      <c r="X73" s="25"/>
      <c r="Y73" s="25"/>
      <c r="Z73" s="25"/>
    </row>
    <row r="74" customFormat="false" ht="30" hidden="false" customHeight="true" outlineLevel="0" collapsed="false">
      <c r="A74" s="25"/>
      <c r="B74" s="26"/>
      <c r="C74" s="25"/>
      <c r="D74" s="25"/>
      <c r="E74" s="25"/>
      <c r="F74" s="25"/>
      <c r="G74" s="26"/>
      <c r="H74" s="25"/>
      <c r="I74" s="26"/>
      <c r="J74" s="26"/>
      <c r="K74" s="26"/>
      <c r="L74" s="26"/>
      <c r="M74" s="26"/>
      <c r="N74" s="25"/>
      <c r="O74" s="30"/>
      <c r="P74" s="30"/>
      <c r="Q74" s="30"/>
      <c r="R74" s="30"/>
      <c r="S74" s="30"/>
      <c r="T74" s="30"/>
      <c r="U74" s="30"/>
      <c r="V74" s="30"/>
      <c r="W74" s="30"/>
      <c r="X74" s="25"/>
      <c r="Y74" s="25"/>
      <c r="Z74" s="25"/>
    </row>
    <row r="75" customFormat="false" ht="30" hidden="false" customHeight="true" outlineLevel="0" collapsed="false">
      <c r="A75" s="25"/>
      <c r="B75" s="26"/>
      <c r="C75" s="25"/>
      <c r="D75" s="25"/>
      <c r="E75" s="25"/>
      <c r="F75" s="25"/>
      <c r="G75" s="26"/>
      <c r="H75" s="25"/>
      <c r="I75" s="26"/>
      <c r="J75" s="26"/>
      <c r="K75" s="26"/>
      <c r="L75" s="26"/>
      <c r="M75" s="26"/>
      <c r="N75" s="25"/>
      <c r="O75" s="30"/>
      <c r="P75" s="30"/>
      <c r="Q75" s="30"/>
      <c r="R75" s="30"/>
      <c r="S75" s="30"/>
      <c r="T75" s="30"/>
      <c r="U75" s="30"/>
      <c r="V75" s="30"/>
      <c r="W75" s="30"/>
      <c r="X75" s="25"/>
      <c r="Y75" s="25"/>
      <c r="Z75" s="25"/>
    </row>
    <row r="76" customFormat="false" ht="30" hidden="false" customHeight="true" outlineLevel="0" collapsed="false">
      <c r="A76" s="25"/>
      <c r="B76" s="26"/>
      <c r="C76" s="25"/>
      <c r="D76" s="25"/>
      <c r="E76" s="25"/>
      <c r="F76" s="25"/>
      <c r="G76" s="26"/>
      <c r="H76" s="25"/>
      <c r="I76" s="26"/>
      <c r="J76" s="26"/>
      <c r="K76" s="26"/>
      <c r="L76" s="26"/>
      <c r="M76" s="26"/>
      <c r="N76" s="25"/>
      <c r="O76" s="30"/>
      <c r="P76" s="30"/>
      <c r="Q76" s="30"/>
      <c r="R76" s="30"/>
      <c r="S76" s="30"/>
      <c r="T76" s="30"/>
      <c r="U76" s="30"/>
      <c r="V76" s="30"/>
      <c r="W76" s="30"/>
      <c r="X76" s="25"/>
      <c r="Y76" s="25"/>
      <c r="Z76" s="25"/>
    </row>
    <row r="77" customFormat="false" ht="30" hidden="false" customHeight="true" outlineLevel="0" collapsed="false">
      <c r="A77" s="25"/>
      <c r="B77" s="26"/>
      <c r="C77" s="25"/>
      <c r="D77" s="25"/>
      <c r="E77" s="25"/>
      <c r="F77" s="25"/>
      <c r="G77" s="26"/>
      <c r="H77" s="25"/>
      <c r="I77" s="26"/>
      <c r="J77" s="26"/>
      <c r="K77" s="26"/>
      <c r="L77" s="26"/>
      <c r="M77" s="26"/>
      <c r="N77" s="25"/>
      <c r="O77" s="30"/>
      <c r="P77" s="30"/>
      <c r="Q77" s="30"/>
      <c r="R77" s="30"/>
      <c r="S77" s="30"/>
      <c r="T77" s="30"/>
      <c r="U77" s="30"/>
      <c r="V77" s="30"/>
      <c r="W77" s="30"/>
      <c r="X77" s="25"/>
      <c r="Y77" s="25"/>
      <c r="Z77" s="25"/>
    </row>
    <row r="78" customFormat="false" ht="30" hidden="false" customHeight="true" outlineLevel="0" collapsed="false">
      <c r="A78" s="25"/>
      <c r="B78" s="26"/>
      <c r="C78" s="25"/>
      <c r="D78" s="25"/>
      <c r="E78" s="25"/>
      <c r="F78" s="25"/>
      <c r="G78" s="26"/>
      <c r="H78" s="25"/>
      <c r="I78" s="26"/>
      <c r="J78" s="26"/>
      <c r="K78" s="26"/>
      <c r="L78" s="26"/>
      <c r="M78" s="26"/>
      <c r="N78" s="25"/>
      <c r="O78" s="30"/>
      <c r="P78" s="30"/>
      <c r="Q78" s="30"/>
      <c r="R78" s="30"/>
      <c r="S78" s="30"/>
      <c r="T78" s="30"/>
      <c r="U78" s="30"/>
      <c r="V78" s="30"/>
      <c r="W78" s="30"/>
      <c r="X78" s="25"/>
      <c r="Y78" s="25"/>
      <c r="Z78" s="25"/>
    </row>
    <row r="79" customFormat="false" ht="30" hidden="false" customHeight="true" outlineLevel="0" collapsed="false">
      <c r="A79" s="25"/>
      <c r="B79" s="26"/>
      <c r="C79" s="25"/>
      <c r="D79" s="25"/>
      <c r="E79" s="25"/>
      <c r="F79" s="25"/>
      <c r="G79" s="26"/>
      <c r="H79" s="25"/>
      <c r="I79" s="26"/>
      <c r="J79" s="26"/>
      <c r="K79" s="26"/>
      <c r="L79" s="26"/>
      <c r="M79" s="26"/>
      <c r="N79" s="25"/>
      <c r="O79" s="30"/>
      <c r="P79" s="30"/>
      <c r="Q79" s="30"/>
      <c r="R79" s="30"/>
      <c r="S79" s="30"/>
      <c r="T79" s="30"/>
      <c r="U79" s="30"/>
      <c r="V79" s="30"/>
      <c r="W79" s="30"/>
      <c r="X79" s="25"/>
      <c r="Y79" s="25"/>
      <c r="Z79" s="25"/>
    </row>
    <row r="80" customFormat="false" ht="30" hidden="false" customHeight="true" outlineLevel="0" collapsed="false">
      <c r="A80" s="25"/>
      <c r="B80" s="26"/>
      <c r="C80" s="25"/>
      <c r="D80" s="25"/>
      <c r="E80" s="25"/>
      <c r="F80" s="25"/>
      <c r="G80" s="26"/>
      <c r="H80" s="25"/>
      <c r="I80" s="26"/>
      <c r="J80" s="26"/>
      <c r="K80" s="26"/>
      <c r="L80" s="26"/>
      <c r="M80" s="26"/>
      <c r="N80" s="25"/>
      <c r="O80" s="30"/>
      <c r="P80" s="30"/>
      <c r="Q80" s="30"/>
      <c r="R80" s="30"/>
      <c r="S80" s="30"/>
      <c r="T80" s="30"/>
      <c r="U80" s="30"/>
      <c r="V80" s="30"/>
      <c r="W80" s="30"/>
      <c r="X80" s="25"/>
      <c r="Y80" s="25"/>
      <c r="Z80" s="25"/>
    </row>
    <row r="81" customFormat="false" ht="30" hidden="false" customHeight="true" outlineLevel="0" collapsed="false">
      <c r="A81" s="25"/>
      <c r="B81" s="26"/>
      <c r="C81" s="25"/>
      <c r="D81" s="25"/>
      <c r="E81" s="25"/>
      <c r="F81" s="25"/>
      <c r="G81" s="26"/>
      <c r="H81" s="25"/>
      <c r="I81" s="26"/>
      <c r="J81" s="26"/>
      <c r="K81" s="26"/>
      <c r="L81" s="26"/>
      <c r="M81" s="26"/>
      <c r="N81" s="25"/>
      <c r="O81" s="30"/>
      <c r="P81" s="30"/>
      <c r="Q81" s="30"/>
      <c r="R81" s="30"/>
      <c r="S81" s="30"/>
      <c r="T81" s="30"/>
      <c r="U81" s="30"/>
      <c r="V81" s="30"/>
      <c r="W81" s="30"/>
      <c r="X81" s="25"/>
      <c r="Y81" s="25"/>
      <c r="Z81" s="25"/>
    </row>
    <row r="82" customFormat="false" ht="30" hidden="false" customHeight="true" outlineLevel="0" collapsed="false">
      <c r="A82" s="25"/>
      <c r="B82" s="26"/>
      <c r="C82" s="25"/>
      <c r="D82" s="25"/>
      <c r="E82" s="25"/>
      <c r="F82" s="25"/>
      <c r="G82" s="26"/>
      <c r="H82" s="25"/>
      <c r="I82" s="26"/>
      <c r="J82" s="26"/>
      <c r="K82" s="26"/>
      <c r="L82" s="26"/>
      <c r="M82" s="26"/>
      <c r="N82" s="25"/>
      <c r="O82" s="30"/>
      <c r="P82" s="30"/>
      <c r="Q82" s="30"/>
      <c r="R82" s="30"/>
      <c r="S82" s="30"/>
      <c r="T82" s="30"/>
      <c r="U82" s="30"/>
      <c r="V82" s="30"/>
      <c r="W82" s="30"/>
      <c r="X82" s="25"/>
      <c r="Y82" s="25"/>
      <c r="Z82" s="25"/>
    </row>
    <row r="83" customFormat="false" ht="30" hidden="false" customHeight="true" outlineLevel="0" collapsed="false">
      <c r="A83" s="25"/>
      <c r="B83" s="26"/>
      <c r="C83" s="25"/>
      <c r="D83" s="25"/>
      <c r="E83" s="25"/>
      <c r="F83" s="25"/>
      <c r="G83" s="26"/>
      <c r="H83" s="25"/>
      <c r="I83" s="26"/>
      <c r="J83" s="26"/>
      <c r="K83" s="26"/>
      <c r="L83" s="26"/>
      <c r="M83" s="26"/>
      <c r="N83" s="25"/>
      <c r="O83" s="30"/>
      <c r="P83" s="30"/>
      <c r="Q83" s="30"/>
      <c r="R83" s="30"/>
      <c r="S83" s="30"/>
      <c r="T83" s="30"/>
      <c r="U83" s="30"/>
      <c r="V83" s="30"/>
      <c r="W83" s="30"/>
      <c r="X83" s="25"/>
      <c r="Y83" s="25"/>
      <c r="Z83" s="25"/>
    </row>
    <row r="84" customFormat="false" ht="30" hidden="false" customHeight="true" outlineLevel="0" collapsed="false">
      <c r="A84" s="25"/>
      <c r="B84" s="26"/>
      <c r="C84" s="25"/>
      <c r="D84" s="25"/>
      <c r="E84" s="25"/>
      <c r="F84" s="25"/>
      <c r="G84" s="26"/>
      <c r="H84" s="25"/>
      <c r="I84" s="26"/>
      <c r="J84" s="26"/>
      <c r="K84" s="26"/>
      <c r="L84" s="26"/>
      <c r="M84" s="26"/>
      <c r="N84" s="25"/>
      <c r="O84" s="30"/>
      <c r="P84" s="30"/>
      <c r="Q84" s="30"/>
      <c r="R84" s="30"/>
      <c r="S84" s="30"/>
      <c r="T84" s="30"/>
      <c r="U84" s="30"/>
      <c r="V84" s="30"/>
      <c r="W84" s="30"/>
      <c r="X84" s="25"/>
      <c r="Y84" s="25"/>
      <c r="Z84" s="25"/>
    </row>
    <row r="85" customFormat="false" ht="30" hidden="false" customHeight="true" outlineLevel="0" collapsed="false">
      <c r="A85" s="25"/>
      <c r="B85" s="26"/>
      <c r="C85" s="25"/>
      <c r="D85" s="25"/>
      <c r="E85" s="25"/>
      <c r="F85" s="25"/>
      <c r="G85" s="26"/>
      <c r="H85" s="25"/>
      <c r="I85" s="26"/>
      <c r="J85" s="26"/>
      <c r="K85" s="26"/>
      <c r="L85" s="26"/>
      <c r="M85" s="26"/>
      <c r="N85" s="25"/>
      <c r="O85" s="30"/>
      <c r="P85" s="30"/>
      <c r="Q85" s="30"/>
      <c r="R85" s="30"/>
      <c r="S85" s="30"/>
      <c r="T85" s="30"/>
      <c r="U85" s="30"/>
      <c r="V85" s="30"/>
      <c r="W85" s="30"/>
      <c r="X85" s="25"/>
      <c r="Y85" s="25"/>
      <c r="Z85" s="25"/>
    </row>
    <row r="86" customFormat="false" ht="30" hidden="false" customHeight="true" outlineLevel="0" collapsed="false">
      <c r="A86" s="25"/>
      <c r="B86" s="26"/>
      <c r="C86" s="25"/>
      <c r="D86" s="25"/>
      <c r="E86" s="25"/>
      <c r="F86" s="25"/>
      <c r="G86" s="26"/>
      <c r="H86" s="25"/>
      <c r="I86" s="26"/>
      <c r="J86" s="26"/>
      <c r="K86" s="26"/>
      <c r="L86" s="26"/>
      <c r="M86" s="26"/>
      <c r="N86" s="25"/>
      <c r="O86" s="30"/>
      <c r="P86" s="30"/>
      <c r="Q86" s="30"/>
      <c r="R86" s="30"/>
      <c r="S86" s="30"/>
      <c r="T86" s="30"/>
      <c r="U86" s="30"/>
      <c r="V86" s="30"/>
      <c r="W86" s="30"/>
      <c r="X86" s="25"/>
      <c r="Y86" s="25"/>
      <c r="Z86" s="25"/>
    </row>
    <row r="87" customFormat="false" ht="30" hidden="false" customHeight="true" outlineLevel="0" collapsed="false">
      <c r="A87" s="25"/>
      <c r="B87" s="26"/>
      <c r="C87" s="25"/>
      <c r="D87" s="25"/>
      <c r="E87" s="25"/>
      <c r="F87" s="25"/>
      <c r="G87" s="26"/>
      <c r="H87" s="25"/>
      <c r="I87" s="26"/>
      <c r="J87" s="26"/>
      <c r="K87" s="26"/>
      <c r="L87" s="26"/>
      <c r="M87" s="26"/>
      <c r="N87" s="25"/>
      <c r="O87" s="30"/>
      <c r="P87" s="30"/>
      <c r="Q87" s="30"/>
      <c r="R87" s="30"/>
      <c r="S87" s="30"/>
      <c r="T87" s="30"/>
      <c r="U87" s="30"/>
      <c r="V87" s="30"/>
      <c r="W87" s="30"/>
      <c r="X87" s="25"/>
      <c r="Y87" s="25"/>
      <c r="Z87" s="25"/>
    </row>
    <row r="88" customFormat="false" ht="30" hidden="false" customHeight="true" outlineLevel="0" collapsed="false">
      <c r="A88" s="25"/>
      <c r="B88" s="26"/>
      <c r="C88" s="25"/>
      <c r="D88" s="25"/>
      <c r="E88" s="25"/>
      <c r="F88" s="25"/>
      <c r="G88" s="26"/>
      <c r="H88" s="25"/>
      <c r="I88" s="26"/>
      <c r="J88" s="26"/>
      <c r="K88" s="26"/>
      <c r="L88" s="26"/>
      <c r="M88" s="26"/>
      <c r="N88" s="25"/>
      <c r="O88" s="30"/>
      <c r="P88" s="30"/>
      <c r="Q88" s="30"/>
      <c r="R88" s="30"/>
      <c r="S88" s="30"/>
      <c r="T88" s="30"/>
      <c r="U88" s="30"/>
      <c r="V88" s="30"/>
      <c r="W88" s="30"/>
      <c r="X88" s="25"/>
      <c r="Y88" s="25"/>
      <c r="Z88" s="25"/>
    </row>
    <row r="89" customFormat="false" ht="30" hidden="false" customHeight="true" outlineLevel="0" collapsed="false">
      <c r="A89" s="25"/>
      <c r="B89" s="26"/>
      <c r="C89" s="25"/>
      <c r="D89" s="25"/>
      <c r="E89" s="25"/>
      <c r="F89" s="25"/>
      <c r="G89" s="26"/>
      <c r="H89" s="25"/>
      <c r="I89" s="26"/>
      <c r="J89" s="26"/>
      <c r="K89" s="26"/>
      <c r="L89" s="26"/>
      <c r="M89" s="26"/>
      <c r="N89" s="25"/>
      <c r="O89" s="30"/>
      <c r="P89" s="30"/>
      <c r="Q89" s="30"/>
      <c r="R89" s="30"/>
      <c r="S89" s="30"/>
      <c r="T89" s="30"/>
      <c r="U89" s="30"/>
      <c r="V89" s="30"/>
      <c r="W89" s="30"/>
      <c r="X89" s="25"/>
      <c r="Y89" s="25"/>
      <c r="Z89" s="25"/>
    </row>
    <row r="90" customFormat="false" ht="30" hidden="false" customHeight="true" outlineLevel="0" collapsed="false">
      <c r="A90" s="25"/>
      <c r="B90" s="26"/>
      <c r="C90" s="25"/>
      <c r="D90" s="25"/>
      <c r="E90" s="25"/>
      <c r="F90" s="25"/>
      <c r="G90" s="26"/>
      <c r="H90" s="25"/>
      <c r="I90" s="26"/>
      <c r="J90" s="26"/>
      <c r="K90" s="25"/>
      <c r="L90" s="26"/>
      <c r="M90" s="26"/>
      <c r="N90" s="25"/>
      <c r="O90" s="30"/>
      <c r="P90" s="30"/>
      <c r="Q90" s="30"/>
      <c r="R90" s="30"/>
      <c r="S90" s="30"/>
      <c r="T90" s="30"/>
      <c r="U90" s="30"/>
      <c r="V90" s="30"/>
      <c r="W90" s="30"/>
      <c r="X90" s="25"/>
      <c r="Y90" s="25"/>
      <c r="Z90" s="25"/>
    </row>
    <row r="91" customFormat="false" ht="30" hidden="false" customHeight="true" outlineLevel="0" collapsed="false">
      <c r="A91" s="25"/>
      <c r="B91" s="26"/>
      <c r="C91" s="25"/>
      <c r="D91" s="25"/>
      <c r="E91" s="25"/>
      <c r="F91" s="25"/>
      <c r="G91" s="26"/>
      <c r="H91" s="25"/>
      <c r="I91" s="26"/>
      <c r="J91" s="26"/>
      <c r="K91" s="25"/>
      <c r="L91" s="26"/>
      <c r="M91" s="26"/>
      <c r="N91" s="25"/>
      <c r="O91" s="30"/>
      <c r="P91" s="30"/>
      <c r="Q91" s="30"/>
      <c r="R91" s="30"/>
      <c r="S91" s="30"/>
      <c r="T91" s="30"/>
      <c r="U91" s="30"/>
      <c r="V91" s="30"/>
      <c r="W91" s="30"/>
      <c r="X91" s="25"/>
      <c r="Y91" s="25"/>
      <c r="Z91" s="25"/>
    </row>
    <row r="92" customFormat="false" ht="30" hidden="false" customHeight="true" outlineLevel="0" collapsed="false">
      <c r="A92" s="25"/>
      <c r="B92" s="26"/>
      <c r="C92" s="25"/>
      <c r="D92" s="25"/>
      <c r="E92" s="25"/>
      <c r="F92" s="25"/>
      <c r="G92" s="26"/>
      <c r="H92" s="25"/>
      <c r="I92" s="26"/>
      <c r="J92" s="26"/>
      <c r="K92" s="25"/>
      <c r="L92" s="26"/>
      <c r="M92" s="26"/>
      <c r="N92" s="25"/>
      <c r="O92" s="30"/>
      <c r="P92" s="30"/>
      <c r="Q92" s="30"/>
      <c r="R92" s="30"/>
      <c r="S92" s="30"/>
      <c r="T92" s="30"/>
      <c r="U92" s="30"/>
      <c r="V92" s="30"/>
      <c r="W92" s="30"/>
      <c r="X92" s="25"/>
      <c r="Y92" s="25"/>
      <c r="Z92" s="25"/>
    </row>
    <row r="93" customFormat="false" ht="30" hidden="false" customHeight="true" outlineLevel="0" collapsed="false">
      <c r="A93" s="25"/>
      <c r="B93" s="26"/>
      <c r="C93" s="25"/>
      <c r="D93" s="25"/>
      <c r="E93" s="25"/>
      <c r="F93" s="25"/>
      <c r="G93" s="26"/>
      <c r="H93" s="25"/>
      <c r="I93" s="26"/>
      <c r="J93" s="26"/>
      <c r="K93" s="25"/>
      <c r="L93" s="26"/>
      <c r="M93" s="26"/>
      <c r="N93" s="25"/>
      <c r="O93" s="30"/>
      <c r="P93" s="30"/>
      <c r="Q93" s="30"/>
      <c r="R93" s="30"/>
      <c r="S93" s="30"/>
      <c r="T93" s="30"/>
      <c r="U93" s="30"/>
      <c r="V93" s="30"/>
      <c r="W93" s="30"/>
      <c r="X93" s="25"/>
      <c r="Y93" s="25"/>
      <c r="Z93" s="25"/>
    </row>
    <row r="94" customFormat="false" ht="30" hidden="false" customHeight="true" outlineLevel="0" collapsed="false">
      <c r="A94" s="25"/>
      <c r="B94" s="26"/>
      <c r="C94" s="25"/>
      <c r="D94" s="25"/>
      <c r="E94" s="25"/>
      <c r="F94" s="25"/>
      <c r="G94" s="26"/>
      <c r="H94" s="25"/>
      <c r="I94" s="26"/>
      <c r="J94" s="26"/>
      <c r="K94" s="25"/>
      <c r="L94" s="26"/>
      <c r="M94" s="26"/>
      <c r="N94" s="25"/>
      <c r="O94" s="30"/>
      <c r="P94" s="30"/>
      <c r="Q94" s="30"/>
      <c r="R94" s="30"/>
      <c r="S94" s="30"/>
      <c r="T94" s="30"/>
      <c r="U94" s="30"/>
      <c r="V94" s="30"/>
      <c r="W94" s="30"/>
      <c r="X94" s="25"/>
      <c r="Y94" s="25"/>
      <c r="Z94" s="25"/>
    </row>
    <row r="95" customFormat="false" ht="30" hidden="false" customHeight="true" outlineLevel="0" collapsed="false">
      <c r="A95" s="25"/>
      <c r="B95" s="26"/>
      <c r="C95" s="25"/>
      <c r="D95" s="25"/>
      <c r="E95" s="25"/>
      <c r="F95" s="25"/>
      <c r="G95" s="26"/>
      <c r="H95" s="25"/>
      <c r="I95" s="26"/>
      <c r="J95" s="26"/>
      <c r="K95" s="25"/>
      <c r="L95" s="26"/>
      <c r="M95" s="26"/>
      <c r="N95" s="25"/>
      <c r="O95" s="30"/>
      <c r="P95" s="30"/>
      <c r="Q95" s="30"/>
      <c r="R95" s="30"/>
      <c r="S95" s="30"/>
      <c r="T95" s="30"/>
      <c r="U95" s="30"/>
      <c r="V95" s="30"/>
      <c r="W95" s="30"/>
      <c r="X95" s="25"/>
      <c r="Y95" s="25"/>
      <c r="Z95" s="25"/>
    </row>
    <row r="96" customFormat="false" ht="30" hidden="false" customHeight="true" outlineLevel="0" collapsed="false">
      <c r="A96" s="25"/>
      <c r="B96" s="26"/>
      <c r="C96" s="25"/>
      <c r="D96" s="25"/>
      <c r="E96" s="25"/>
      <c r="F96" s="25"/>
      <c r="G96" s="26"/>
      <c r="H96" s="25"/>
      <c r="I96" s="26"/>
      <c r="J96" s="26"/>
      <c r="K96" s="25"/>
      <c r="L96" s="26"/>
      <c r="M96" s="26"/>
      <c r="N96" s="25"/>
      <c r="O96" s="30"/>
      <c r="P96" s="30"/>
      <c r="Q96" s="30"/>
      <c r="R96" s="30"/>
      <c r="S96" s="30"/>
      <c r="T96" s="30"/>
      <c r="U96" s="30"/>
      <c r="V96" s="30"/>
      <c r="W96" s="30"/>
      <c r="X96" s="25"/>
      <c r="Y96" s="25"/>
      <c r="Z96" s="25"/>
    </row>
    <row r="97" customFormat="false" ht="30" hidden="false" customHeight="true" outlineLevel="0" collapsed="false">
      <c r="A97" s="25"/>
      <c r="B97" s="26"/>
      <c r="C97" s="25"/>
      <c r="D97" s="25"/>
      <c r="E97" s="25"/>
      <c r="F97" s="25"/>
      <c r="G97" s="26"/>
      <c r="H97" s="25"/>
      <c r="I97" s="26"/>
      <c r="J97" s="26"/>
      <c r="K97" s="25"/>
      <c r="L97" s="26"/>
      <c r="M97" s="26"/>
      <c r="N97" s="25"/>
      <c r="O97" s="30"/>
      <c r="P97" s="30"/>
      <c r="Q97" s="30"/>
      <c r="R97" s="30"/>
      <c r="S97" s="30"/>
      <c r="T97" s="30"/>
      <c r="U97" s="30"/>
      <c r="V97" s="30"/>
      <c r="W97" s="30"/>
      <c r="X97" s="25"/>
      <c r="Y97" s="25"/>
      <c r="Z97" s="25"/>
    </row>
    <row r="98" customFormat="false" ht="30" hidden="false" customHeight="true" outlineLevel="0" collapsed="false">
      <c r="A98" s="25"/>
      <c r="B98" s="26"/>
      <c r="C98" s="25"/>
      <c r="D98" s="25"/>
      <c r="E98" s="25"/>
      <c r="F98" s="25"/>
      <c r="G98" s="26"/>
      <c r="H98" s="25"/>
      <c r="I98" s="26"/>
      <c r="J98" s="26"/>
      <c r="K98" s="25"/>
      <c r="L98" s="26"/>
      <c r="M98" s="26"/>
      <c r="N98" s="25"/>
      <c r="O98" s="30"/>
      <c r="P98" s="30"/>
      <c r="Q98" s="30"/>
      <c r="R98" s="30"/>
      <c r="S98" s="30"/>
      <c r="T98" s="30"/>
      <c r="U98" s="30"/>
      <c r="V98" s="30"/>
      <c r="W98" s="30"/>
      <c r="X98" s="25"/>
      <c r="Y98" s="25"/>
      <c r="Z98" s="25"/>
    </row>
    <row r="99" customFormat="false" ht="30" hidden="false" customHeight="true" outlineLevel="0" collapsed="false">
      <c r="A99" s="25"/>
      <c r="B99" s="26"/>
      <c r="C99" s="25"/>
      <c r="D99" s="25"/>
      <c r="E99" s="25"/>
      <c r="F99" s="25"/>
      <c r="G99" s="26"/>
      <c r="H99" s="25"/>
      <c r="I99" s="26"/>
      <c r="J99" s="26"/>
      <c r="K99" s="25"/>
      <c r="L99" s="26"/>
      <c r="M99" s="26"/>
      <c r="N99" s="25"/>
      <c r="O99" s="30"/>
      <c r="P99" s="30"/>
      <c r="Q99" s="30"/>
      <c r="R99" s="30"/>
      <c r="S99" s="30"/>
      <c r="T99" s="30"/>
      <c r="U99" s="30"/>
      <c r="V99" s="30"/>
      <c r="W99" s="30"/>
      <c r="X99" s="25"/>
      <c r="Y99" s="25"/>
      <c r="Z99" s="25"/>
    </row>
    <row r="100" customFormat="false" ht="30" hidden="false" customHeight="true" outlineLevel="0" collapsed="false">
      <c r="A100" s="25"/>
      <c r="B100" s="26"/>
      <c r="C100" s="25"/>
      <c r="D100" s="25"/>
      <c r="E100" s="25"/>
      <c r="F100" s="25"/>
      <c r="G100" s="26"/>
      <c r="H100" s="25"/>
      <c r="I100" s="26"/>
      <c r="J100" s="26"/>
      <c r="K100" s="25"/>
      <c r="L100" s="26"/>
      <c r="M100" s="26"/>
      <c r="N100" s="25"/>
      <c r="O100" s="30"/>
      <c r="P100" s="30"/>
      <c r="Q100" s="30"/>
      <c r="R100" s="30"/>
      <c r="S100" s="30"/>
      <c r="T100" s="30"/>
      <c r="U100" s="30"/>
      <c r="V100" s="30"/>
      <c r="W100" s="30"/>
      <c r="X100" s="25"/>
      <c r="Y100" s="25"/>
      <c r="Z100" s="25"/>
    </row>
    <row r="101" customFormat="false" ht="30" hidden="false" customHeight="true" outlineLevel="0" collapsed="false">
      <c r="A101" s="25"/>
      <c r="B101" s="26"/>
      <c r="C101" s="25"/>
      <c r="D101" s="25"/>
      <c r="E101" s="25"/>
      <c r="F101" s="25"/>
      <c r="G101" s="26"/>
      <c r="H101" s="25"/>
      <c r="I101" s="26"/>
      <c r="J101" s="26"/>
      <c r="K101" s="25"/>
      <c r="L101" s="26"/>
      <c r="M101" s="26"/>
      <c r="N101" s="25"/>
      <c r="O101" s="30"/>
      <c r="P101" s="30"/>
      <c r="Q101" s="30"/>
      <c r="R101" s="30"/>
      <c r="S101" s="30"/>
      <c r="T101" s="30"/>
      <c r="U101" s="30"/>
      <c r="V101" s="30"/>
      <c r="W101" s="30"/>
      <c r="X101" s="25"/>
      <c r="Y101" s="25"/>
      <c r="Z101" s="25"/>
    </row>
    <row r="102" customFormat="false" ht="30" hidden="false" customHeight="true" outlineLevel="0" collapsed="false">
      <c r="A102" s="25"/>
      <c r="B102" s="26"/>
      <c r="C102" s="25"/>
      <c r="D102" s="25"/>
      <c r="E102" s="25"/>
      <c r="F102" s="25"/>
      <c r="G102" s="26"/>
      <c r="H102" s="25"/>
      <c r="I102" s="26"/>
      <c r="J102" s="26"/>
      <c r="K102" s="25"/>
      <c r="L102" s="26"/>
      <c r="M102" s="26"/>
      <c r="N102" s="25"/>
      <c r="O102" s="30"/>
      <c r="P102" s="30"/>
      <c r="Q102" s="30"/>
      <c r="R102" s="30"/>
      <c r="S102" s="30"/>
      <c r="T102" s="30"/>
      <c r="U102" s="30"/>
      <c r="V102" s="30"/>
      <c r="W102" s="30"/>
      <c r="X102" s="25"/>
      <c r="Y102" s="25"/>
      <c r="Z102" s="25"/>
    </row>
    <row r="103" customFormat="false" ht="30" hidden="false" customHeight="true" outlineLevel="0" collapsed="false">
      <c r="A103" s="25"/>
      <c r="B103" s="26"/>
      <c r="C103" s="25"/>
      <c r="D103" s="25"/>
      <c r="E103" s="25"/>
      <c r="F103" s="25"/>
      <c r="G103" s="26"/>
      <c r="H103" s="25"/>
      <c r="I103" s="26"/>
      <c r="J103" s="26"/>
      <c r="K103" s="25"/>
      <c r="L103" s="26"/>
      <c r="M103" s="26"/>
      <c r="N103" s="25"/>
      <c r="O103" s="30"/>
      <c r="P103" s="30"/>
      <c r="Q103" s="30"/>
      <c r="R103" s="30"/>
      <c r="S103" s="30"/>
      <c r="T103" s="30"/>
      <c r="U103" s="30"/>
      <c r="V103" s="30"/>
      <c r="W103" s="30"/>
      <c r="X103" s="25"/>
      <c r="Y103" s="25"/>
      <c r="Z103" s="25"/>
    </row>
    <row r="104" customFormat="false" ht="30" hidden="false" customHeight="true" outlineLevel="0" collapsed="false">
      <c r="A104" s="25"/>
      <c r="B104" s="26"/>
      <c r="C104" s="25"/>
      <c r="D104" s="25"/>
      <c r="E104" s="25"/>
      <c r="F104" s="25"/>
      <c r="G104" s="26"/>
      <c r="H104" s="25"/>
      <c r="I104" s="26"/>
      <c r="J104" s="26"/>
      <c r="K104" s="25"/>
      <c r="L104" s="26"/>
      <c r="M104" s="26"/>
      <c r="N104" s="25"/>
      <c r="O104" s="30"/>
      <c r="P104" s="30"/>
      <c r="Q104" s="30"/>
      <c r="R104" s="30"/>
      <c r="S104" s="30"/>
      <c r="T104" s="30"/>
      <c r="U104" s="30"/>
      <c r="V104" s="30"/>
      <c r="W104" s="30"/>
      <c r="X104" s="25"/>
      <c r="Y104" s="25"/>
      <c r="Z104" s="25"/>
    </row>
    <row r="105" customFormat="false" ht="30" hidden="false" customHeight="true" outlineLevel="0" collapsed="false">
      <c r="A105" s="25"/>
      <c r="B105" s="26"/>
      <c r="C105" s="25"/>
      <c r="D105" s="25"/>
      <c r="E105" s="25"/>
      <c r="F105" s="25"/>
      <c r="G105" s="26"/>
      <c r="H105" s="25"/>
      <c r="I105" s="26"/>
      <c r="J105" s="26"/>
      <c r="K105" s="25"/>
      <c r="L105" s="26"/>
      <c r="M105" s="26"/>
      <c r="N105" s="25"/>
      <c r="O105" s="30"/>
      <c r="P105" s="30"/>
      <c r="Q105" s="30"/>
      <c r="R105" s="30"/>
      <c r="S105" s="30"/>
      <c r="T105" s="30"/>
      <c r="U105" s="30"/>
      <c r="V105" s="30"/>
      <c r="W105" s="30"/>
      <c r="X105" s="25"/>
      <c r="Y105" s="25"/>
      <c r="Z105" s="25"/>
    </row>
    <row r="106" customFormat="false" ht="30" hidden="false" customHeight="true" outlineLevel="0" collapsed="false">
      <c r="A106" s="25"/>
      <c r="B106" s="26"/>
      <c r="C106" s="25"/>
      <c r="D106" s="25"/>
      <c r="E106" s="25"/>
      <c r="F106" s="25"/>
      <c r="G106" s="26"/>
      <c r="H106" s="25"/>
      <c r="I106" s="26"/>
      <c r="J106" s="26"/>
      <c r="K106" s="25"/>
      <c r="L106" s="26"/>
      <c r="M106" s="26"/>
      <c r="N106" s="25"/>
      <c r="O106" s="30"/>
      <c r="P106" s="30"/>
      <c r="Q106" s="30"/>
      <c r="R106" s="30"/>
      <c r="S106" s="30"/>
      <c r="T106" s="30"/>
      <c r="U106" s="30"/>
      <c r="V106" s="30"/>
      <c r="W106" s="30"/>
      <c r="X106" s="25"/>
      <c r="Y106" s="25"/>
      <c r="Z106" s="25"/>
    </row>
    <row r="107" customFormat="false" ht="30" hidden="false" customHeight="true" outlineLevel="0" collapsed="false">
      <c r="A107" s="25"/>
      <c r="B107" s="26"/>
      <c r="C107" s="25"/>
      <c r="D107" s="25"/>
      <c r="E107" s="25"/>
      <c r="F107" s="25"/>
      <c r="G107" s="26"/>
      <c r="H107" s="25"/>
      <c r="I107" s="26"/>
      <c r="J107" s="26"/>
      <c r="K107" s="25"/>
      <c r="L107" s="26"/>
      <c r="M107" s="26"/>
      <c r="N107" s="25"/>
      <c r="O107" s="30"/>
      <c r="P107" s="30"/>
      <c r="Q107" s="30"/>
      <c r="R107" s="30"/>
      <c r="S107" s="30"/>
      <c r="T107" s="30"/>
      <c r="U107" s="30"/>
      <c r="V107" s="30"/>
      <c r="W107" s="30"/>
      <c r="X107" s="25"/>
      <c r="Y107" s="25"/>
      <c r="Z107" s="25"/>
    </row>
    <row r="108" customFormat="false" ht="30" hidden="false" customHeight="true" outlineLevel="0" collapsed="false">
      <c r="A108" s="25"/>
      <c r="B108" s="26"/>
      <c r="C108" s="25"/>
      <c r="D108" s="25"/>
      <c r="E108" s="25"/>
      <c r="F108" s="25"/>
      <c r="G108" s="26"/>
      <c r="H108" s="25"/>
      <c r="I108" s="26"/>
      <c r="J108" s="26"/>
      <c r="K108" s="25"/>
      <c r="L108" s="26"/>
      <c r="M108" s="26"/>
      <c r="N108" s="25"/>
      <c r="O108" s="30"/>
      <c r="P108" s="30"/>
      <c r="Q108" s="30"/>
      <c r="R108" s="30"/>
      <c r="S108" s="30"/>
      <c r="T108" s="30"/>
      <c r="U108" s="30"/>
      <c r="V108" s="30"/>
      <c r="W108" s="30"/>
      <c r="X108" s="25"/>
      <c r="Y108" s="25"/>
      <c r="Z108" s="25"/>
    </row>
    <row r="109" customFormat="false" ht="30" hidden="false" customHeight="true" outlineLevel="0" collapsed="false">
      <c r="A109" s="25"/>
      <c r="B109" s="26"/>
      <c r="C109" s="25"/>
      <c r="D109" s="25"/>
      <c r="E109" s="25"/>
      <c r="F109" s="25"/>
      <c r="G109" s="26"/>
      <c r="H109" s="25"/>
      <c r="I109" s="26"/>
      <c r="J109" s="26"/>
      <c r="K109" s="25"/>
      <c r="L109" s="26"/>
      <c r="M109" s="26"/>
      <c r="N109" s="25"/>
      <c r="O109" s="30"/>
      <c r="P109" s="30"/>
      <c r="Q109" s="30"/>
      <c r="R109" s="30"/>
      <c r="S109" s="30"/>
      <c r="T109" s="30"/>
      <c r="U109" s="30"/>
      <c r="V109" s="30"/>
      <c r="W109" s="30"/>
      <c r="X109" s="25"/>
      <c r="Y109" s="25"/>
      <c r="Z109" s="25"/>
    </row>
    <row r="110" customFormat="false" ht="30" hidden="false" customHeight="true" outlineLevel="0" collapsed="false">
      <c r="A110" s="25"/>
      <c r="B110" s="26"/>
      <c r="C110" s="25"/>
      <c r="D110" s="25"/>
      <c r="E110" s="25"/>
      <c r="F110" s="25"/>
      <c r="G110" s="26"/>
      <c r="H110" s="25"/>
      <c r="I110" s="26"/>
      <c r="J110" s="26"/>
      <c r="K110" s="25"/>
      <c r="L110" s="26"/>
      <c r="M110" s="26"/>
      <c r="N110" s="25"/>
      <c r="O110" s="30"/>
      <c r="P110" s="30"/>
      <c r="Q110" s="30"/>
      <c r="R110" s="30"/>
      <c r="S110" s="30"/>
      <c r="T110" s="30"/>
      <c r="U110" s="30"/>
      <c r="V110" s="30"/>
      <c r="W110" s="30"/>
      <c r="X110" s="25"/>
      <c r="Y110" s="25"/>
      <c r="Z110" s="25"/>
    </row>
    <row r="111" customFormat="false" ht="30" hidden="false" customHeight="true" outlineLevel="0" collapsed="false">
      <c r="A111" s="25"/>
      <c r="B111" s="26"/>
      <c r="C111" s="25"/>
      <c r="D111" s="25"/>
      <c r="E111" s="25"/>
      <c r="F111" s="25"/>
      <c r="G111" s="26"/>
      <c r="H111" s="25"/>
      <c r="I111" s="26"/>
      <c r="J111" s="26"/>
      <c r="K111" s="25"/>
      <c r="L111" s="26"/>
      <c r="M111" s="26"/>
      <c r="N111" s="25"/>
      <c r="O111" s="30"/>
      <c r="P111" s="30"/>
      <c r="Q111" s="30"/>
      <c r="R111" s="30"/>
      <c r="S111" s="30"/>
      <c r="T111" s="30"/>
      <c r="U111" s="30"/>
      <c r="V111" s="30"/>
      <c r="W111" s="30"/>
      <c r="X111" s="25"/>
      <c r="Y111" s="25"/>
      <c r="Z111" s="25"/>
    </row>
    <row r="112" customFormat="false" ht="30" hidden="false" customHeight="true" outlineLevel="0" collapsed="false">
      <c r="A112" s="25"/>
      <c r="B112" s="26"/>
      <c r="C112" s="25"/>
      <c r="D112" s="25"/>
      <c r="E112" s="25"/>
      <c r="F112" s="25"/>
      <c r="G112" s="26"/>
      <c r="H112" s="25"/>
      <c r="I112" s="26"/>
      <c r="J112" s="26"/>
      <c r="K112" s="25"/>
      <c r="L112" s="26"/>
      <c r="M112" s="26"/>
      <c r="N112" s="25"/>
      <c r="O112" s="30"/>
      <c r="P112" s="30"/>
      <c r="Q112" s="30"/>
      <c r="R112" s="30"/>
      <c r="S112" s="30"/>
      <c r="T112" s="30"/>
      <c r="U112" s="30"/>
      <c r="V112" s="30"/>
      <c r="W112" s="30"/>
      <c r="X112" s="25"/>
      <c r="Y112" s="25"/>
      <c r="Z112" s="25"/>
    </row>
    <row r="113" customFormat="false" ht="30" hidden="false" customHeight="true" outlineLevel="0" collapsed="false">
      <c r="A113" s="25"/>
      <c r="B113" s="26"/>
      <c r="C113" s="25"/>
      <c r="D113" s="25"/>
      <c r="E113" s="25"/>
      <c r="F113" s="25"/>
      <c r="G113" s="26"/>
      <c r="H113" s="25"/>
      <c r="I113" s="26"/>
      <c r="J113" s="26"/>
      <c r="K113" s="25"/>
      <c r="L113" s="26"/>
      <c r="M113" s="26"/>
      <c r="N113" s="25"/>
      <c r="O113" s="30"/>
      <c r="P113" s="30"/>
      <c r="Q113" s="30"/>
      <c r="R113" s="30"/>
      <c r="S113" s="30"/>
      <c r="T113" s="30"/>
      <c r="U113" s="30"/>
      <c r="V113" s="30"/>
      <c r="W113" s="30"/>
      <c r="X113" s="25"/>
      <c r="Y113" s="25"/>
      <c r="Z113" s="25"/>
    </row>
    <row r="114" customFormat="false" ht="30" hidden="false" customHeight="true" outlineLevel="0" collapsed="false">
      <c r="A114" s="25"/>
      <c r="B114" s="26"/>
      <c r="C114" s="25"/>
      <c r="D114" s="25"/>
      <c r="E114" s="25"/>
      <c r="F114" s="25"/>
      <c r="G114" s="26"/>
      <c r="H114" s="25"/>
      <c r="I114" s="26"/>
      <c r="J114" s="26"/>
      <c r="K114" s="25"/>
      <c r="L114" s="26"/>
      <c r="M114" s="26"/>
      <c r="N114" s="25"/>
      <c r="O114" s="30"/>
      <c r="P114" s="30"/>
      <c r="Q114" s="30"/>
      <c r="R114" s="30"/>
      <c r="S114" s="30"/>
      <c r="T114" s="30"/>
      <c r="U114" s="30"/>
      <c r="V114" s="30"/>
      <c r="W114" s="30"/>
      <c r="X114" s="25"/>
      <c r="Y114" s="25"/>
      <c r="Z114" s="25"/>
    </row>
    <row r="115" customFormat="false" ht="30" hidden="false" customHeight="true" outlineLevel="0" collapsed="false">
      <c r="A115" s="25"/>
      <c r="B115" s="26"/>
      <c r="C115" s="25"/>
      <c r="D115" s="25"/>
      <c r="E115" s="25"/>
      <c r="F115" s="25"/>
      <c r="G115" s="26"/>
      <c r="H115" s="25"/>
      <c r="I115" s="26"/>
      <c r="J115" s="26"/>
      <c r="K115" s="25"/>
      <c r="L115" s="26"/>
      <c r="M115" s="26"/>
      <c r="N115" s="25"/>
      <c r="O115" s="30"/>
      <c r="P115" s="30"/>
      <c r="Q115" s="30"/>
      <c r="R115" s="30"/>
      <c r="S115" s="30"/>
      <c r="T115" s="30"/>
      <c r="U115" s="30"/>
      <c r="V115" s="30"/>
      <c r="W115" s="30"/>
      <c r="X115" s="25"/>
      <c r="Y115" s="25"/>
      <c r="Z115" s="25"/>
    </row>
    <row r="116" customFormat="false" ht="30" hidden="false" customHeight="true" outlineLevel="0" collapsed="false">
      <c r="A116" s="25"/>
      <c r="B116" s="26"/>
      <c r="C116" s="25"/>
      <c r="D116" s="25"/>
      <c r="E116" s="25"/>
      <c r="F116" s="25"/>
      <c r="G116" s="26"/>
      <c r="H116" s="25"/>
      <c r="I116" s="26"/>
      <c r="J116" s="26"/>
      <c r="K116" s="25"/>
      <c r="L116" s="26"/>
      <c r="M116" s="26"/>
      <c r="N116" s="25"/>
      <c r="O116" s="30"/>
      <c r="P116" s="30"/>
      <c r="Q116" s="30"/>
      <c r="R116" s="30"/>
      <c r="S116" s="30"/>
      <c r="T116" s="30"/>
      <c r="U116" s="30"/>
      <c r="V116" s="30"/>
      <c r="W116" s="30"/>
      <c r="X116" s="25"/>
      <c r="Y116" s="25"/>
      <c r="Z116" s="25"/>
    </row>
    <row r="117" customFormat="false" ht="30" hidden="false" customHeight="true" outlineLevel="0" collapsed="false">
      <c r="A117" s="25"/>
      <c r="B117" s="26"/>
      <c r="C117" s="25"/>
      <c r="D117" s="25"/>
      <c r="E117" s="25"/>
      <c r="F117" s="25"/>
      <c r="G117" s="26"/>
      <c r="H117" s="25"/>
      <c r="I117" s="26"/>
      <c r="J117" s="26"/>
      <c r="K117" s="25"/>
      <c r="L117" s="26"/>
      <c r="M117" s="26"/>
      <c r="N117" s="25"/>
      <c r="O117" s="30"/>
      <c r="P117" s="30"/>
      <c r="Q117" s="30"/>
      <c r="R117" s="30"/>
      <c r="S117" s="30"/>
      <c r="T117" s="30"/>
      <c r="U117" s="30"/>
      <c r="V117" s="30"/>
      <c r="W117" s="30"/>
      <c r="X117" s="25"/>
      <c r="Y117" s="25"/>
      <c r="Z117" s="25"/>
    </row>
    <row r="118" customFormat="false" ht="30" hidden="false" customHeight="true" outlineLevel="0" collapsed="false">
      <c r="A118" s="25"/>
      <c r="B118" s="26"/>
      <c r="C118" s="25"/>
      <c r="D118" s="25"/>
      <c r="E118" s="25"/>
      <c r="F118" s="25"/>
      <c r="G118" s="26"/>
      <c r="H118" s="25"/>
      <c r="I118" s="26"/>
      <c r="J118" s="26"/>
      <c r="K118" s="25"/>
      <c r="L118" s="26"/>
      <c r="M118" s="26"/>
      <c r="N118" s="25"/>
      <c r="O118" s="30"/>
      <c r="P118" s="30"/>
      <c r="Q118" s="30"/>
      <c r="R118" s="30"/>
      <c r="S118" s="30"/>
      <c r="T118" s="30"/>
      <c r="U118" s="30"/>
      <c r="V118" s="30"/>
      <c r="W118" s="30"/>
      <c r="X118" s="25"/>
      <c r="Y118" s="25"/>
      <c r="Z118" s="25"/>
    </row>
    <row r="119" customFormat="false" ht="30" hidden="false" customHeight="true" outlineLevel="0" collapsed="false">
      <c r="A119" s="25"/>
      <c r="B119" s="26"/>
      <c r="C119" s="25"/>
      <c r="D119" s="25"/>
      <c r="E119" s="25"/>
      <c r="F119" s="25"/>
      <c r="G119" s="26"/>
      <c r="H119" s="25"/>
      <c r="I119" s="26"/>
      <c r="J119" s="26"/>
      <c r="K119" s="25"/>
      <c r="L119" s="26"/>
      <c r="M119" s="26"/>
      <c r="N119" s="25"/>
      <c r="O119" s="30"/>
      <c r="P119" s="30"/>
      <c r="Q119" s="30"/>
      <c r="R119" s="30"/>
      <c r="S119" s="30"/>
      <c r="T119" s="30"/>
      <c r="U119" s="30"/>
      <c r="V119" s="30"/>
      <c r="W119" s="30"/>
      <c r="X119" s="25"/>
      <c r="Y119" s="25"/>
      <c r="Z119" s="25"/>
    </row>
    <row r="120" customFormat="false" ht="30" hidden="false" customHeight="true" outlineLevel="0" collapsed="false">
      <c r="A120" s="25"/>
      <c r="B120" s="26"/>
      <c r="C120" s="25"/>
      <c r="D120" s="25"/>
      <c r="E120" s="25"/>
      <c r="F120" s="25"/>
      <c r="G120" s="26"/>
      <c r="H120" s="25"/>
      <c r="I120" s="26"/>
      <c r="J120" s="26"/>
      <c r="K120" s="25"/>
      <c r="L120" s="26"/>
      <c r="M120" s="26"/>
      <c r="N120" s="25"/>
      <c r="O120" s="30"/>
      <c r="P120" s="30"/>
      <c r="Q120" s="30"/>
      <c r="R120" s="30"/>
      <c r="S120" s="30"/>
      <c r="T120" s="30"/>
      <c r="U120" s="30"/>
      <c r="V120" s="30"/>
      <c r="W120" s="30"/>
      <c r="X120" s="25"/>
      <c r="Y120" s="25"/>
      <c r="Z120" s="25"/>
    </row>
    <row r="121" customFormat="false" ht="30" hidden="false" customHeight="true" outlineLevel="0" collapsed="false">
      <c r="A121" s="25"/>
      <c r="B121" s="26"/>
      <c r="C121" s="25"/>
      <c r="D121" s="25"/>
      <c r="E121" s="25"/>
      <c r="F121" s="25"/>
      <c r="G121" s="26"/>
      <c r="H121" s="25"/>
      <c r="I121" s="26"/>
      <c r="J121" s="26"/>
      <c r="K121" s="25"/>
      <c r="L121" s="26"/>
      <c r="M121" s="26"/>
      <c r="N121" s="25"/>
      <c r="O121" s="30"/>
      <c r="P121" s="30"/>
      <c r="Q121" s="30"/>
      <c r="R121" s="30"/>
      <c r="S121" s="30"/>
      <c r="T121" s="30"/>
      <c r="U121" s="30"/>
      <c r="V121" s="30"/>
      <c r="W121" s="30"/>
      <c r="X121" s="25"/>
      <c r="Y121" s="25"/>
      <c r="Z121" s="25"/>
    </row>
    <row r="122" customFormat="false" ht="30" hidden="false" customHeight="true" outlineLevel="0" collapsed="false">
      <c r="A122" s="25"/>
      <c r="B122" s="26"/>
      <c r="C122" s="25"/>
      <c r="D122" s="25"/>
      <c r="E122" s="25"/>
      <c r="F122" s="25"/>
      <c r="G122" s="26"/>
      <c r="H122" s="25"/>
      <c r="I122" s="26"/>
      <c r="J122" s="26"/>
      <c r="K122" s="25"/>
      <c r="L122" s="26"/>
      <c r="M122" s="26"/>
      <c r="N122" s="25"/>
      <c r="O122" s="30"/>
      <c r="P122" s="30"/>
      <c r="Q122" s="30"/>
      <c r="R122" s="30"/>
      <c r="S122" s="30"/>
      <c r="T122" s="30"/>
      <c r="U122" s="30"/>
      <c r="V122" s="30"/>
      <c r="W122" s="30"/>
      <c r="X122" s="25"/>
      <c r="Y122" s="25"/>
      <c r="Z122" s="25"/>
    </row>
    <row r="123" customFormat="false" ht="30" hidden="false" customHeight="true" outlineLevel="0" collapsed="false">
      <c r="A123" s="25"/>
      <c r="B123" s="26"/>
      <c r="C123" s="25"/>
      <c r="D123" s="25"/>
      <c r="E123" s="25"/>
      <c r="F123" s="25"/>
      <c r="G123" s="26"/>
      <c r="H123" s="25"/>
      <c r="I123" s="26"/>
      <c r="J123" s="26"/>
      <c r="K123" s="25"/>
      <c r="L123" s="26"/>
      <c r="M123" s="26"/>
      <c r="N123" s="25"/>
      <c r="O123" s="30"/>
      <c r="P123" s="30"/>
      <c r="Q123" s="30"/>
      <c r="R123" s="30"/>
      <c r="S123" s="30"/>
      <c r="T123" s="30"/>
      <c r="U123" s="30"/>
      <c r="V123" s="30"/>
      <c r="W123" s="30"/>
      <c r="X123" s="25"/>
      <c r="Y123" s="25"/>
      <c r="Z123" s="25"/>
    </row>
    <row r="124" customFormat="false" ht="30" hidden="false" customHeight="true" outlineLevel="0" collapsed="false">
      <c r="A124" s="25"/>
      <c r="B124" s="26"/>
      <c r="C124" s="25"/>
      <c r="D124" s="25"/>
      <c r="E124" s="25"/>
      <c r="F124" s="25"/>
      <c r="G124" s="26"/>
      <c r="H124" s="25"/>
      <c r="I124" s="26"/>
      <c r="J124" s="26"/>
      <c r="K124" s="25"/>
      <c r="L124" s="26"/>
      <c r="M124" s="26"/>
      <c r="N124" s="25"/>
      <c r="O124" s="30"/>
      <c r="P124" s="30"/>
      <c r="Q124" s="30"/>
      <c r="R124" s="30"/>
      <c r="S124" s="30"/>
      <c r="T124" s="30"/>
      <c r="U124" s="30"/>
      <c r="V124" s="30"/>
      <c r="W124" s="30"/>
      <c r="X124" s="25"/>
      <c r="Y124" s="25"/>
      <c r="Z124" s="25"/>
    </row>
    <row r="125" customFormat="false" ht="30" hidden="false" customHeight="true" outlineLevel="0" collapsed="false">
      <c r="A125" s="25"/>
      <c r="B125" s="26"/>
      <c r="C125" s="25"/>
      <c r="D125" s="25"/>
      <c r="E125" s="25"/>
      <c r="F125" s="25"/>
      <c r="G125" s="26"/>
      <c r="H125" s="25"/>
      <c r="I125" s="26"/>
      <c r="J125" s="26"/>
      <c r="K125" s="25"/>
      <c r="L125" s="26"/>
      <c r="M125" s="26"/>
      <c r="N125" s="25"/>
      <c r="O125" s="30"/>
      <c r="P125" s="30"/>
      <c r="Q125" s="30"/>
      <c r="R125" s="30"/>
      <c r="S125" s="30"/>
      <c r="T125" s="30"/>
      <c r="U125" s="30"/>
      <c r="V125" s="30"/>
      <c r="W125" s="30"/>
      <c r="X125" s="25"/>
      <c r="Y125" s="25"/>
      <c r="Z125" s="25"/>
    </row>
    <row r="126" customFormat="false" ht="30" hidden="false" customHeight="true" outlineLevel="0" collapsed="false">
      <c r="A126" s="25"/>
      <c r="B126" s="26"/>
      <c r="C126" s="25"/>
      <c r="D126" s="25"/>
      <c r="E126" s="25"/>
      <c r="F126" s="25"/>
      <c r="G126" s="26"/>
      <c r="H126" s="25"/>
      <c r="I126" s="26"/>
      <c r="J126" s="26"/>
      <c r="K126" s="25"/>
      <c r="L126" s="26"/>
      <c r="M126" s="26"/>
      <c r="N126" s="25"/>
      <c r="O126" s="30"/>
      <c r="P126" s="30"/>
      <c r="Q126" s="30"/>
      <c r="R126" s="30"/>
      <c r="S126" s="30"/>
      <c r="T126" s="30"/>
      <c r="U126" s="30"/>
      <c r="V126" s="30"/>
      <c r="W126" s="30"/>
      <c r="X126" s="25"/>
      <c r="Y126" s="25"/>
      <c r="Z126" s="25"/>
    </row>
    <row r="127" customFormat="false" ht="30" hidden="false" customHeight="true" outlineLevel="0" collapsed="false">
      <c r="A127" s="25"/>
      <c r="B127" s="26"/>
      <c r="C127" s="25"/>
      <c r="D127" s="25"/>
      <c r="E127" s="25"/>
      <c r="F127" s="25"/>
      <c r="G127" s="26"/>
      <c r="H127" s="25"/>
      <c r="I127" s="26"/>
      <c r="J127" s="26"/>
      <c r="K127" s="25"/>
      <c r="L127" s="26"/>
      <c r="M127" s="26"/>
      <c r="N127" s="25"/>
      <c r="O127" s="30"/>
      <c r="P127" s="30"/>
      <c r="Q127" s="30"/>
      <c r="R127" s="30"/>
      <c r="S127" s="30"/>
      <c r="T127" s="30"/>
      <c r="U127" s="30"/>
      <c r="V127" s="30"/>
      <c r="W127" s="30"/>
      <c r="X127" s="25"/>
      <c r="Y127" s="25"/>
      <c r="Z127" s="25"/>
    </row>
    <row r="128" customFormat="false" ht="30" hidden="false" customHeight="true" outlineLevel="0" collapsed="false">
      <c r="A128" s="25"/>
      <c r="B128" s="26"/>
      <c r="C128" s="25"/>
      <c r="D128" s="25"/>
      <c r="E128" s="25"/>
      <c r="F128" s="25"/>
      <c r="G128" s="26"/>
      <c r="H128" s="25"/>
      <c r="I128" s="26"/>
      <c r="J128" s="26"/>
      <c r="K128" s="25"/>
      <c r="L128" s="26"/>
      <c r="M128" s="26"/>
      <c r="N128" s="25"/>
      <c r="O128" s="30"/>
      <c r="P128" s="30"/>
      <c r="Q128" s="30"/>
      <c r="R128" s="30"/>
      <c r="S128" s="30"/>
      <c r="T128" s="30"/>
      <c r="U128" s="30"/>
      <c r="V128" s="30"/>
      <c r="W128" s="30"/>
      <c r="X128" s="25"/>
      <c r="Y128" s="25"/>
      <c r="Z128" s="25"/>
    </row>
    <row r="129" customFormat="false" ht="30" hidden="false" customHeight="true" outlineLevel="0" collapsed="false">
      <c r="A129" s="25"/>
      <c r="B129" s="26"/>
      <c r="C129" s="25"/>
      <c r="D129" s="25"/>
      <c r="E129" s="25"/>
      <c r="F129" s="25"/>
      <c r="G129" s="26"/>
      <c r="H129" s="25"/>
      <c r="I129" s="26"/>
      <c r="J129" s="26"/>
      <c r="K129" s="25"/>
      <c r="L129" s="26"/>
      <c r="M129" s="26"/>
      <c r="N129" s="25"/>
      <c r="O129" s="30"/>
      <c r="P129" s="30"/>
      <c r="Q129" s="30"/>
      <c r="R129" s="30"/>
      <c r="S129" s="30"/>
      <c r="T129" s="30"/>
      <c r="U129" s="30"/>
      <c r="V129" s="30"/>
      <c r="W129" s="30"/>
      <c r="X129" s="25"/>
      <c r="Y129" s="25"/>
      <c r="Z129" s="25"/>
    </row>
    <row r="130" customFormat="false" ht="30" hidden="false" customHeight="true" outlineLevel="0" collapsed="false">
      <c r="A130" s="25"/>
      <c r="B130" s="26"/>
      <c r="C130" s="25"/>
      <c r="D130" s="25"/>
      <c r="E130" s="25"/>
      <c r="F130" s="25"/>
      <c r="G130" s="26"/>
      <c r="H130" s="25"/>
      <c r="I130" s="26"/>
      <c r="J130" s="26"/>
      <c r="K130" s="25"/>
      <c r="L130" s="26"/>
      <c r="M130" s="26"/>
      <c r="N130" s="25"/>
      <c r="O130" s="30"/>
      <c r="P130" s="30"/>
      <c r="Q130" s="30"/>
      <c r="R130" s="30"/>
      <c r="S130" s="30"/>
      <c r="T130" s="30"/>
      <c r="U130" s="30"/>
      <c r="V130" s="30"/>
      <c r="W130" s="30"/>
      <c r="X130" s="25"/>
      <c r="Y130" s="25"/>
      <c r="Z130" s="25"/>
    </row>
    <row r="131" customFormat="false" ht="30" hidden="false" customHeight="true" outlineLevel="0" collapsed="false">
      <c r="A131" s="25"/>
      <c r="B131" s="26"/>
      <c r="C131" s="25"/>
      <c r="D131" s="25"/>
      <c r="E131" s="25"/>
      <c r="F131" s="25"/>
      <c r="G131" s="26"/>
      <c r="H131" s="25"/>
      <c r="I131" s="26"/>
      <c r="J131" s="26"/>
      <c r="K131" s="25"/>
      <c r="L131" s="26"/>
      <c r="M131" s="26"/>
      <c r="N131" s="25"/>
      <c r="O131" s="30"/>
      <c r="P131" s="30"/>
      <c r="Q131" s="30"/>
      <c r="R131" s="30"/>
      <c r="S131" s="30"/>
      <c r="T131" s="30"/>
      <c r="U131" s="30"/>
      <c r="V131" s="30"/>
      <c r="W131" s="30"/>
      <c r="X131" s="25"/>
      <c r="Y131" s="25"/>
      <c r="Z131" s="25"/>
    </row>
    <row r="132" customFormat="false" ht="30" hidden="false" customHeight="true" outlineLevel="0" collapsed="false">
      <c r="A132" s="25"/>
      <c r="B132" s="26"/>
      <c r="C132" s="25"/>
      <c r="D132" s="25"/>
      <c r="E132" s="25"/>
      <c r="F132" s="25"/>
      <c r="G132" s="26"/>
      <c r="H132" s="25"/>
      <c r="I132" s="26"/>
      <c r="J132" s="26"/>
      <c r="K132" s="25"/>
      <c r="L132" s="26"/>
      <c r="M132" s="26"/>
      <c r="N132" s="25"/>
      <c r="O132" s="30"/>
      <c r="P132" s="30"/>
      <c r="Q132" s="30"/>
      <c r="R132" s="30"/>
      <c r="S132" s="30"/>
      <c r="T132" s="30"/>
      <c r="U132" s="30"/>
      <c r="V132" s="30"/>
      <c r="W132" s="30"/>
      <c r="X132" s="25"/>
      <c r="Y132" s="25"/>
      <c r="Z132" s="25"/>
    </row>
    <row r="133" customFormat="false" ht="30" hidden="false" customHeight="true" outlineLevel="0" collapsed="false">
      <c r="A133" s="25"/>
      <c r="B133" s="26"/>
      <c r="C133" s="25"/>
      <c r="D133" s="25"/>
      <c r="E133" s="25"/>
      <c r="F133" s="25"/>
      <c r="G133" s="26"/>
      <c r="H133" s="25"/>
      <c r="I133" s="26"/>
      <c r="J133" s="26"/>
      <c r="K133" s="25"/>
      <c r="L133" s="26"/>
      <c r="M133" s="26"/>
      <c r="N133" s="25"/>
      <c r="O133" s="30"/>
      <c r="P133" s="30"/>
      <c r="Q133" s="30"/>
      <c r="R133" s="30"/>
      <c r="S133" s="30"/>
      <c r="T133" s="30"/>
      <c r="U133" s="30"/>
      <c r="V133" s="30"/>
      <c r="W133" s="30"/>
      <c r="X133" s="25"/>
      <c r="Y133" s="25"/>
      <c r="Z133" s="25"/>
    </row>
    <row r="134" customFormat="false" ht="30" hidden="false" customHeight="true" outlineLevel="0" collapsed="false">
      <c r="A134" s="25"/>
      <c r="B134" s="26"/>
      <c r="C134" s="25"/>
      <c r="D134" s="25"/>
      <c r="E134" s="25"/>
      <c r="F134" s="25"/>
      <c r="G134" s="26"/>
      <c r="H134" s="25"/>
      <c r="I134" s="26"/>
      <c r="J134" s="26"/>
      <c r="K134" s="25"/>
      <c r="L134" s="26"/>
      <c r="M134" s="26"/>
      <c r="N134" s="25"/>
      <c r="O134" s="30"/>
      <c r="P134" s="30"/>
      <c r="Q134" s="30"/>
      <c r="R134" s="30"/>
      <c r="S134" s="30"/>
      <c r="T134" s="30"/>
      <c r="U134" s="30"/>
      <c r="V134" s="30"/>
      <c r="W134" s="30"/>
      <c r="X134" s="25"/>
      <c r="Y134" s="25"/>
      <c r="Z134" s="25"/>
    </row>
    <row r="135" customFormat="false" ht="30" hidden="false" customHeight="true" outlineLevel="0" collapsed="false">
      <c r="A135" s="25"/>
      <c r="B135" s="26"/>
      <c r="C135" s="25"/>
      <c r="D135" s="25"/>
      <c r="E135" s="25"/>
      <c r="F135" s="25"/>
      <c r="G135" s="26"/>
      <c r="H135" s="25"/>
      <c r="I135" s="26"/>
      <c r="J135" s="26"/>
      <c r="K135" s="25"/>
      <c r="L135" s="26"/>
      <c r="M135" s="26"/>
      <c r="N135" s="25"/>
      <c r="O135" s="30"/>
      <c r="P135" s="30"/>
      <c r="Q135" s="30"/>
      <c r="R135" s="30"/>
      <c r="S135" s="30"/>
      <c r="T135" s="30"/>
      <c r="U135" s="30"/>
      <c r="V135" s="30"/>
      <c r="W135" s="30"/>
      <c r="X135" s="25"/>
      <c r="Y135" s="25"/>
      <c r="Z135" s="25"/>
    </row>
    <row r="136" customFormat="false" ht="30" hidden="false" customHeight="true" outlineLevel="0" collapsed="false">
      <c r="A136" s="25"/>
      <c r="B136" s="26"/>
      <c r="C136" s="25"/>
      <c r="D136" s="25"/>
      <c r="E136" s="25"/>
      <c r="F136" s="25"/>
      <c r="G136" s="26"/>
      <c r="H136" s="25"/>
      <c r="I136" s="26"/>
      <c r="J136" s="26"/>
      <c r="K136" s="25"/>
      <c r="L136" s="26"/>
      <c r="M136" s="26"/>
      <c r="N136" s="25"/>
      <c r="O136" s="30"/>
      <c r="P136" s="30"/>
      <c r="Q136" s="30"/>
      <c r="R136" s="30"/>
      <c r="S136" s="30"/>
      <c r="T136" s="30"/>
      <c r="U136" s="30"/>
      <c r="V136" s="30"/>
      <c r="W136" s="30"/>
      <c r="X136" s="25"/>
      <c r="Y136" s="25"/>
      <c r="Z136" s="25"/>
    </row>
    <row r="137" customFormat="false" ht="30" hidden="false" customHeight="true" outlineLevel="0" collapsed="false">
      <c r="A137" s="25"/>
      <c r="B137" s="26"/>
      <c r="C137" s="25"/>
      <c r="D137" s="25"/>
      <c r="E137" s="25"/>
      <c r="F137" s="25"/>
      <c r="G137" s="26"/>
      <c r="H137" s="25"/>
      <c r="I137" s="26"/>
      <c r="J137" s="26"/>
      <c r="K137" s="25"/>
      <c r="L137" s="26"/>
      <c r="M137" s="26"/>
      <c r="N137" s="25"/>
      <c r="O137" s="30"/>
      <c r="P137" s="30"/>
      <c r="Q137" s="30"/>
      <c r="R137" s="30"/>
      <c r="S137" s="30"/>
      <c r="T137" s="30"/>
      <c r="U137" s="30"/>
      <c r="V137" s="30"/>
      <c r="W137" s="30"/>
      <c r="X137" s="25"/>
      <c r="Y137" s="25"/>
      <c r="Z137" s="25"/>
    </row>
    <row r="138" customFormat="false" ht="30" hidden="false" customHeight="true" outlineLevel="0" collapsed="false">
      <c r="A138" s="25"/>
      <c r="B138" s="26"/>
      <c r="C138" s="25"/>
      <c r="D138" s="25"/>
      <c r="E138" s="25"/>
      <c r="F138" s="25"/>
      <c r="G138" s="26"/>
      <c r="H138" s="25"/>
      <c r="I138" s="26"/>
      <c r="J138" s="26"/>
      <c r="K138" s="25"/>
      <c r="L138" s="26"/>
      <c r="M138" s="26"/>
      <c r="N138" s="25"/>
      <c r="O138" s="30"/>
      <c r="P138" s="30"/>
      <c r="Q138" s="30"/>
      <c r="R138" s="30"/>
      <c r="S138" s="30"/>
      <c r="T138" s="30"/>
      <c r="U138" s="30"/>
      <c r="V138" s="30"/>
      <c r="W138" s="30"/>
      <c r="X138" s="25"/>
      <c r="Y138" s="25"/>
      <c r="Z138" s="25"/>
    </row>
    <row r="139" customFormat="false" ht="30" hidden="false" customHeight="true" outlineLevel="0" collapsed="false">
      <c r="A139" s="25"/>
      <c r="B139" s="26"/>
      <c r="C139" s="25"/>
      <c r="D139" s="25"/>
      <c r="E139" s="25"/>
      <c r="F139" s="25"/>
      <c r="G139" s="26"/>
      <c r="H139" s="25"/>
      <c r="I139" s="26"/>
      <c r="J139" s="26"/>
      <c r="K139" s="25"/>
      <c r="L139" s="26"/>
      <c r="M139" s="26"/>
      <c r="N139" s="25"/>
      <c r="O139" s="30"/>
      <c r="P139" s="30"/>
      <c r="Q139" s="30"/>
      <c r="R139" s="30"/>
      <c r="S139" s="30"/>
      <c r="T139" s="30"/>
      <c r="U139" s="30"/>
      <c r="V139" s="30"/>
      <c r="W139" s="30"/>
      <c r="X139" s="25"/>
      <c r="Y139" s="25"/>
      <c r="Z139" s="25"/>
    </row>
    <row r="140" customFormat="false" ht="30" hidden="false" customHeight="true" outlineLevel="0" collapsed="false">
      <c r="A140" s="25"/>
      <c r="B140" s="26"/>
      <c r="C140" s="25"/>
      <c r="D140" s="25"/>
      <c r="E140" s="25"/>
      <c r="F140" s="25"/>
      <c r="G140" s="26"/>
      <c r="H140" s="25"/>
      <c r="I140" s="26"/>
      <c r="J140" s="26"/>
      <c r="K140" s="25"/>
      <c r="L140" s="26"/>
      <c r="M140" s="26"/>
      <c r="N140" s="25"/>
      <c r="O140" s="30"/>
      <c r="P140" s="30"/>
      <c r="Q140" s="30"/>
      <c r="R140" s="30"/>
      <c r="S140" s="30"/>
      <c r="T140" s="30"/>
      <c r="U140" s="30"/>
      <c r="V140" s="30"/>
      <c r="W140" s="30"/>
      <c r="X140" s="25"/>
      <c r="Y140" s="25"/>
      <c r="Z140" s="25"/>
    </row>
    <row r="141" customFormat="false" ht="30" hidden="false" customHeight="true" outlineLevel="0" collapsed="false">
      <c r="A141" s="25"/>
      <c r="B141" s="26"/>
      <c r="C141" s="25"/>
      <c r="D141" s="25"/>
      <c r="E141" s="25"/>
      <c r="F141" s="25"/>
      <c r="G141" s="26"/>
      <c r="H141" s="25"/>
      <c r="I141" s="26"/>
      <c r="J141" s="26"/>
      <c r="K141" s="25"/>
      <c r="L141" s="26"/>
      <c r="M141" s="26"/>
      <c r="N141" s="25"/>
      <c r="O141" s="30"/>
      <c r="P141" s="30"/>
      <c r="Q141" s="30"/>
      <c r="R141" s="30"/>
      <c r="S141" s="30"/>
      <c r="T141" s="30"/>
      <c r="U141" s="30"/>
      <c r="V141" s="30"/>
      <c r="W141" s="30"/>
      <c r="X141" s="25"/>
      <c r="Y141" s="25"/>
      <c r="Z141" s="25"/>
    </row>
    <row r="142" customFormat="false" ht="30" hidden="false" customHeight="true" outlineLevel="0" collapsed="false">
      <c r="A142" s="25"/>
      <c r="B142" s="26"/>
      <c r="C142" s="25"/>
      <c r="D142" s="25"/>
      <c r="E142" s="25"/>
      <c r="F142" s="25"/>
      <c r="G142" s="26"/>
      <c r="H142" s="25"/>
      <c r="I142" s="26"/>
      <c r="J142" s="26"/>
      <c r="K142" s="25"/>
      <c r="L142" s="26"/>
      <c r="M142" s="26"/>
      <c r="N142" s="25"/>
      <c r="O142" s="30"/>
      <c r="P142" s="30"/>
      <c r="Q142" s="30"/>
      <c r="R142" s="30"/>
      <c r="S142" s="30"/>
      <c r="T142" s="30"/>
      <c r="U142" s="30"/>
      <c r="V142" s="30"/>
      <c r="W142" s="30"/>
      <c r="X142" s="25"/>
      <c r="Y142" s="25"/>
      <c r="Z142" s="25"/>
    </row>
    <row r="143" customFormat="false" ht="30" hidden="false" customHeight="true" outlineLevel="0" collapsed="false">
      <c r="A143" s="25"/>
      <c r="B143" s="26"/>
      <c r="C143" s="25"/>
      <c r="D143" s="25"/>
      <c r="E143" s="25"/>
      <c r="F143" s="25"/>
      <c r="G143" s="26"/>
      <c r="H143" s="25"/>
      <c r="I143" s="26"/>
      <c r="J143" s="26"/>
      <c r="K143" s="25"/>
      <c r="L143" s="26"/>
      <c r="M143" s="26"/>
      <c r="N143" s="25"/>
      <c r="O143" s="30"/>
      <c r="P143" s="30"/>
      <c r="Q143" s="30"/>
      <c r="R143" s="30"/>
      <c r="S143" s="30"/>
      <c r="T143" s="30"/>
      <c r="U143" s="30"/>
      <c r="V143" s="30"/>
      <c r="W143" s="30"/>
      <c r="X143" s="25"/>
      <c r="Y143" s="25"/>
      <c r="Z143" s="25"/>
    </row>
    <row r="144" customFormat="false" ht="30" hidden="false" customHeight="true" outlineLevel="0" collapsed="false">
      <c r="A144" s="25"/>
      <c r="B144" s="26"/>
      <c r="C144" s="25"/>
      <c r="D144" s="25"/>
      <c r="E144" s="25"/>
      <c r="F144" s="25"/>
      <c r="G144" s="26"/>
      <c r="H144" s="25"/>
      <c r="I144" s="26"/>
      <c r="J144" s="26"/>
      <c r="K144" s="25"/>
      <c r="L144" s="26"/>
      <c r="M144" s="26"/>
      <c r="N144" s="25"/>
      <c r="O144" s="30"/>
      <c r="P144" s="30"/>
      <c r="Q144" s="30"/>
      <c r="R144" s="30"/>
      <c r="S144" s="30"/>
      <c r="T144" s="30"/>
      <c r="U144" s="30"/>
      <c r="V144" s="30"/>
      <c r="W144" s="30"/>
      <c r="X144" s="25"/>
      <c r="Y144" s="25"/>
      <c r="Z144" s="25"/>
    </row>
    <row r="145" customFormat="false" ht="30" hidden="false" customHeight="true" outlineLevel="0" collapsed="false">
      <c r="A145" s="25"/>
      <c r="B145" s="26"/>
      <c r="C145" s="25"/>
      <c r="D145" s="25"/>
      <c r="E145" s="25"/>
      <c r="F145" s="25"/>
      <c r="G145" s="26"/>
      <c r="H145" s="25"/>
      <c r="I145" s="26"/>
      <c r="J145" s="26"/>
      <c r="K145" s="25"/>
      <c r="L145" s="26"/>
      <c r="M145" s="26"/>
      <c r="N145" s="25"/>
      <c r="O145" s="30"/>
      <c r="P145" s="30"/>
      <c r="Q145" s="30"/>
      <c r="R145" s="30"/>
      <c r="S145" s="30"/>
      <c r="T145" s="30"/>
      <c r="U145" s="30"/>
      <c r="V145" s="30"/>
      <c r="W145" s="30"/>
      <c r="X145" s="25"/>
      <c r="Y145" s="25"/>
      <c r="Z145" s="25"/>
    </row>
    <row r="146" customFormat="false" ht="30" hidden="false" customHeight="true" outlineLevel="0" collapsed="false">
      <c r="A146" s="25"/>
      <c r="B146" s="26"/>
      <c r="C146" s="25"/>
      <c r="D146" s="25"/>
      <c r="E146" s="25"/>
      <c r="F146" s="25"/>
      <c r="G146" s="26"/>
      <c r="H146" s="25"/>
      <c r="I146" s="26"/>
      <c r="J146" s="26"/>
      <c r="K146" s="25"/>
      <c r="L146" s="26"/>
      <c r="M146" s="26"/>
      <c r="N146" s="25"/>
      <c r="O146" s="30"/>
      <c r="P146" s="30"/>
      <c r="Q146" s="30"/>
      <c r="R146" s="30"/>
      <c r="S146" s="30"/>
      <c r="T146" s="30"/>
      <c r="U146" s="30"/>
      <c r="V146" s="30"/>
      <c r="W146" s="30"/>
      <c r="X146" s="25"/>
      <c r="Y146" s="25"/>
      <c r="Z146" s="25"/>
    </row>
    <row r="147" customFormat="false" ht="30" hidden="false" customHeight="true" outlineLevel="0" collapsed="false">
      <c r="A147" s="25"/>
      <c r="B147" s="26"/>
      <c r="C147" s="25"/>
      <c r="D147" s="25"/>
      <c r="E147" s="25"/>
      <c r="F147" s="25"/>
      <c r="G147" s="26"/>
      <c r="H147" s="25"/>
      <c r="I147" s="26"/>
      <c r="J147" s="26"/>
      <c r="K147" s="25"/>
      <c r="L147" s="26"/>
      <c r="M147" s="26"/>
      <c r="N147" s="25"/>
      <c r="O147" s="30"/>
      <c r="P147" s="30"/>
      <c r="Q147" s="30"/>
      <c r="R147" s="30"/>
      <c r="S147" s="30"/>
      <c r="T147" s="30"/>
      <c r="U147" s="30"/>
      <c r="V147" s="30"/>
      <c r="W147" s="30"/>
      <c r="X147" s="25"/>
      <c r="Y147" s="25"/>
      <c r="Z147" s="25"/>
    </row>
    <row r="148" customFormat="false" ht="30" hidden="false" customHeight="true" outlineLevel="0" collapsed="false">
      <c r="A148" s="25"/>
      <c r="B148" s="26"/>
      <c r="C148" s="25"/>
      <c r="D148" s="25"/>
      <c r="E148" s="25"/>
      <c r="F148" s="25"/>
      <c r="G148" s="26"/>
      <c r="H148" s="25"/>
      <c r="I148" s="26"/>
      <c r="J148" s="26"/>
      <c r="K148" s="25"/>
      <c r="L148" s="26"/>
      <c r="M148" s="26"/>
      <c r="N148" s="25"/>
      <c r="O148" s="30"/>
      <c r="P148" s="30"/>
      <c r="Q148" s="30"/>
      <c r="R148" s="30"/>
      <c r="S148" s="30"/>
      <c r="T148" s="30"/>
      <c r="U148" s="30"/>
      <c r="V148" s="30"/>
      <c r="W148" s="30"/>
      <c r="X148" s="25"/>
      <c r="Y148" s="25"/>
      <c r="Z148" s="25"/>
    </row>
    <row r="149" customFormat="false" ht="30" hidden="false" customHeight="true" outlineLevel="0" collapsed="false">
      <c r="A149" s="25"/>
      <c r="B149" s="26"/>
      <c r="C149" s="25"/>
      <c r="D149" s="25"/>
      <c r="E149" s="25"/>
      <c r="F149" s="25"/>
      <c r="G149" s="26"/>
      <c r="H149" s="25"/>
      <c r="I149" s="26"/>
      <c r="J149" s="26"/>
      <c r="K149" s="25"/>
      <c r="L149" s="26"/>
      <c r="M149" s="26"/>
      <c r="N149" s="25"/>
      <c r="O149" s="30"/>
      <c r="P149" s="30"/>
      <c r="Q149" s="30"/>
      <c r="R149" s="30"/>
      <c r="S149" s="30"/>
      <c r="T149" s="30"/>
      <c r="U149" s="30"/>
      <c r="V149" s="30"/>
      <c r="W149" s="30"/>
      <c r="X149" s="25"/>
      <c r="Y149" s="25"/>
      <c r="Z149" s="25"/>
    </row>
    <row r="150" customFormat="false" ht="30" hidden="false" customHeight="true" outlineLevel="0" collapsed="false">
      <c r="A150" s="25"/>
      <c r="B150" s="26"/>
      <c r="C150" s="25"/>
      <c r="D150" s="25"/>
      <c r="E150" s="25"/>
      <c r="F150" s="25"/>
      <c r="G150" s="26"/>
      <c r="H150" s="25"/>
      <c r="I150" s="26"/>
      <c r="J150" s="26"/>
      <c r="K150" s="25"/>
      <c r="L150" s="26"/>
      <c r="M150" s="26"/>
      <c r="N150" s="25"/>
      <c r="O150" s="30"/>
      <c r="P150" s="30"/>
      <c r="Q150" s="30"/>
      <c r="R150" s="30"/>
      <c r="S150" s="30"/>
      <c r="T150" s="30"/>
      <c r="U150" s="30"/>
      <c r="V150" s="30"/>
      <c r="W150" s="30"/>
      <c r="X150" s="25"/>
      <c r="Y150" s="25"/>
      <c r="Z150" s="25"/>
    </row>
    <row r="151" customFormat="false" ht="30" hidden="false" customHeight="true" outlineLevel="0" collapsed="false">
      <c r="A151" s="25"/>
      <c r="B151" s="26"/>
      <c r="C151" s="25"/>
      <c r="D151" s="25"/>
      <c r="E151" s="25"/>
      <c r="F151" s="25"/>
      <c r="G151" s="26"/>
      <c r="H151" s="25"/>
      <c r="I151" s="26"/>
      <c r="J151" s="26"/>
      <c r="K151" s="25"/>
      <c r="L151" s="26"/>
      <c r="M151" s="26"/>
      <c r="N151" s="25"/>
      <c r="O151" s="30"/>
      <c r="P151" s="30"/>
      <c r="Q151" s="30"/>
      <c r="R151" s="30"/>
      <c r="S151" s="30"/>
      <c r="T151" s="30"/>
      <c r="U151" s="30"/>
      <c r="V151" s="30"/>
      <c r="W151" s="30"/>
      <c r="X151" s="25"/>
      <c r="Y151" s="25"/>
      <c r="Z151" s="25"/>
    </row>
    <row r="152" customFormat="false" ht="30" hidden="false" customHeight="true" outlineLevel="0" collapsed="false">
      <c r="A152" s="25"/>
      <c r="B152" s="26"/>
      <c r="C152" s="25"/>
      <c r="D152" s="25"/>
      <c r="E152" s="25"/>
      <c r="F152" s="25"/>
      <c r="G152" s="26"/>
      <c r="H152" s="25"/>
      <c r="I152" s="26"/>
      <c r="J152" s="26"/>
      <c r="K152" s="25"/>
      <c r="L152" s="26"/>
      <c r="M152" s="26"/>
      <c r="N152" s="25"/>
      <c r="O152" s="30"/>
      <c r="P152" s="30"/>
      <c r="Q152" s="30"/>
      <c r="R152" s="30"/>
      <c r="S152" s="30"/>
      <c r="T152" s="30"/>
      <c r="U152" s="30"/>
      <c r="V152" s="30"/>
      <c r="W152" s="30"/>
      <c r="X152" s="25"/>
      <c r="Y152" s="25"/>
      <c r="Z152" s="25"/>
    </row>
    <row r="153" customFormat="false" ht="30" hidden="false" customHeight="true" outlineLevel="0" collapsed="false">
      <c r="A153" s="25"/>
      <c r="B153" s="26"/>
      <c r="C153" s="25"/>
      <c r="D153" s="25"/>
      <c r="E153" s="25"/>
      <c r="F153" s="25"/>
      <c r="G153" s="26"/>
      <c r="H153" s="25"/>
      <c r="I153" s="26"/>
      <c r="J153" s="26"/>
      <c r="K153" s="25"/>
      <c r="L153" s="26"/>
      <c r="M153" s="26"/>
      <c r="N153" s="25"/>
      <c r="O153" s="30"/>
      <c r="P153" s="30"/>
      <c r="Q153" s="30"/>
      <c r="R153" s="30"/>
      <c r="S153" s="30"/>
      <c r="T153" s="30"/>
      <c r="U153" s="30"/>
      <c r="V153" s="30"/>
      <c r="W153" s="30"/>
      <c r="X153" s="25"/>
      <c r="Y153" s="25"/>
      <c r="Z153" s="25"/>
    </row>
    <row r="154" customFormat="false" ht="30" hidden="false" customHeight="true" outlineLevel="0" collapsed="false">
      <c r="A154" s="25"/>
      <c r="B154" s="26"/>
      <c r="C154" s="25"/>
      <c r="D154" s="25"/>
      <c r="E154" s="25"/>
      <c r="F154" s="25"/>
      <c r="G154" s="26"/>
      <c r="H154" s="25"/>
      <c r="I154" s="26"/>
      <c r="J154" s="26"/>
      <c r="K154" s="25"/>
      <c r="L154" s="26"/>
      <c r="M154" s="26"/>
      <c r="N154" s="25"/>
      <c r="O154" s="30"/>
      <c r="P154" s="30"/>
      <c r="Q154" s="30"/>
      <c r="R154" s="30"/>
      <c r="S154" s="30"/>
      <c r="T154" s="30"/>
      <c r="U154" s="30"/>
      <c r="V154" s="30"/>
      <c r="W154" s="30"/>
      <c r="X154" s="25"/>
      <c r="Y154" s="25"/>
      <c r="Z154" s="25"/>
    </row>
    <row r="155" customFormat="false" ht="30" hidden="false" customHeight="true" outlineLevel="0" collapsed="false">
      <c r="A155" s="25"/>
      <c r="B155" s="26"/>
      <c r="C155" s="25"/>
      <c r="D155" s="25"/>
      <c r="E155" s="25"/>
      <c r="F155" s="25"/>
      <c r="G155" s="26"/>
      <c r="H155" s="25"/>
      <c r="I155" s="26"/>
      <c r="J155" s="26"/>
      <c r="K155" s="25"/>
      <c r="L155" s="26"/>
      <c r="M155" s="26"/>
      <c r="N155" s="25"/>
      <c r="O155" s="30"/>
      <c r="P155" s="30"/>
      <c r="Q155" s="30"/>
      <c r="R155" s="30"/>
      <c r="S155" s="30"/>
      <c r="T155" s="30"/>
      <c r="U155" s="30"/>
      <c r="V155" s="30"/>
      <c r="W155" s="30"/>
      <c r="X155" s="25"/>
      <c r="Y155" s="25"/>
      <c r="Z155" s="25"/>
    </row>
    <row r="156" customFormat="false" ht="30" hidden="false" customHeight="true" outlineLevel="0" collapsed="false">
      <c r="A156" s="25"/>
      <c r="B156" s="26"/>
      <c r="C156" s="25"/>
      <c r="D156" s="25"/>
      <c r="E156" s="25"/>
      <c r="F156" s="25"/>
      <c r="G156" s="26"/>
      <c r="H156" s="25"/>
      <c r="I156" s="26"/>
      <c r="J156" s="26"/>
      <c r="K156" s="25"/>
      <c r="L156" s="26"/>
      <c r="M156" s="26"/>
      <c r="N156" s="25"/>
      <c r="O156" s="30"/>
      <c r="P156" s="30"/>
      <c r="Q156" s="30"/>
      <c r="R156" s="30"/>
      <c r="S156" s="30"/>
      <c r="T156" s="30"/>
      <c r="U156" s="30"/>
      <c r="V156" s="30"/>
      <c r="W156" s="30"/>
      <c r="X156" s="25"/>
      <c r="Y156" s="25"/>
      <c r="Z156" s="25"/>
    </row>
    <row r="157" customFormat="false" ht="30" hidden="false" customHeight="true" outlineLevel="0" collapsed="false">
      <c r="A157" s="25"/>
      <c r="B157" s="26"/>
      <c r="C157" s="25"/>
      <c r="D157" s="25"/>
      <c r="E157" s="25"/>
      <c r="F157" s="25"/>
      <c r="G157" s="26"/>
      <c r="H157" s="25"/>
      <c r="I157" s="26"/>
      <c r="J157" s="26"/>
      <c r="K157" s="25"/>
      <c r="L157" s="26"/>
      <c r="M157" s="26"/>
      <c r="N157" s="25"/>
      <c r="O157" s="30"/>
      <c r="P157" s="30"/>
      <c r="Q157" s="30"/>
      <c r="R157" s="30"/>
      <c r="S157" s="30"/>
      <c r="T157" s="30"/>
      <c r="U157" s="30"/>
      <c r="V157" s="30"/>
      <c r="W157" s="30"/>
      <c r="X157" s="25"/>
      <c r="Y157" s="25"/>
      <c r="Z157" s="25"/>
    </row>
    <row r="158" customFormat="false" ht="30" hidden="false" customHeight="true" outlineLevel="0" collapsed="false">
      <c r="A158" s="25"/>
      <c r="B158" s="26"/>
      <c r="C158" s="25"/>
      <c r="D158" s="25"/>
      <c r="E158" s="25"/>
      <c r="F158" s="25"/>
      <c r="G158" s="26"/>
      <c r="H158" s="25"/>
      <c r="I158" s="26"/>
      <c r="J158" s="26"/>
      <c r="K158" s="25"/>
      <c r="L158" s="26"/>
      <c r="M158" s="26"/>
      <c r="N158" s="25"/>
      <c r="O158" s="30"/>
      <c r="P158" s="30"/>
      <c r="Q158" s="30"/>
      <c r="R158" s="30"/>
      <c r="S158" s="30"/>
      <c r="T158" s="30"/>
      <c r="U158" s="30"/>
      <c r="V158" s="30"/>
      <c r="W158" s="30"/>
      <c r="X158" s="25"/>
      <c r="Y158" s="25"/>
      <c r="Z158" s="25"/>
    </row>
    <row r="159" customFormat="false" ht="30" hidden="false" customHeight="true" outlineLevel="0" collapsed="false">
      <c r="A159" s="25"/>
      <c r="B159" s="26"/>
      <c r="C159" s="25"/>
      <c r="D159" s="25"/>
      <c r="E159" s="25"/>
      <c r="F159" s="25"/>
      <c r="G159" s="26"/>
      <c r="H159" s="25"/>
      <c r="I159" s="26"/>
      <c r="J159" s="26"/>
      <c r="K159" s="25"/>
      <c r="L159" s="26"/>
      <c r="M159" s="26"/>
      <c r="N159" s="25"/>
      <c r="O159" s="30"/>
      <c r="P159" s="30"/>
      <c r="Q159" s="30"/>
      <c r="R159" s="30"/>
      <c r="S159" s="30"/>
      <c r="T159" s="30"/>
      <c r="U159" s="30"/>
      <c r="V159" s="30"/>
      <c r="W159" s="30"/>
      <c r="X159" s="25"/>
      <c r="Y159" s="25"/>
      <c r="Z159" s="25"/>
    </row>
    <row r="160" customFormat="false" ht="30" hidden="false" customHeight="true" outlineLevel="0" collapsed="false">
      <c r="A160" s="25"/>
      <c r="B160" s="26"/>
      <c r="C160" s="25"/>
      <c r="D160" s="25"/>
      <c r="E160" s="25"/>
      <c r="F160" s="25"/>
      <c r="G160" s="26"/>
      <c r="H160" s="25"/>
      <c r="I160" s="26"/>
      <c r="J160" s="26"/>
      <c r="K160" s="25"/>
      <c r="L160" s="26"/>
      <c r="M160" s="26"/>
      <c r="N160" s="25"/>
      <c r="O160" s="30"/>
      <c r="P160" s="30"/>
      <c r="Q160" s="30"/>
      <c r="R160" s="30"/>
      <c r="S160" s="30"/>
      <c r="T160" s="30"/>
      <c r="U160" s="30"/>
      <c r="V160" s="30"/>
      <c r="W160" s="30"/>
      <c r="X160" s="25"/>
      <c r="Y160" s="25"/>
      <c r="Z160" s="25"/>
    </row>
    <row r="161" customFormat="false" ht="30" hidden="false" customHeight="true" outlineLevel="0" collapsed="false">
      <c r="A161" s="25"/>
      <c r="B161" s="26"/>
      <c r="C161" s="25"/>
      <c r="D161" s="25"/>
      <c r="E161" s="25"/>
      <c r="F161" s="25"/>
      <c r="G161" s="26"/>
      <c r="H161" s="25"/>
      <c r="I161" s="26"/>
      <c r="J161" s="26"/>
      <c r="K161" s="25"/>
      <c r="L161" s="26"/>
      <c r="M161" s="26"/>
      <c r="N161" s="25"/>
      <c r="O161" s="30"/>
      <c r="P161" s="30"/>
      <c r="Q161" s="30"/>
      <c r="R161" s="30"/>
      <c r="S161" s="30"/>
      <c r="T161" s="30"/>
      <c r="U161" s="30"/>
      <c r="V161" s="30"/>
      <c r="W161" s="30"/>
      <c r="X161" s="25"/>
      <c r="Y161" s="25"/>
      <c r="Z161" s="25"/>
    </row>
    <row r="162" customFormat="false" ht="30" hidden="false" customHeight="true" outlineLevel="0" collapsed="false">
      <c r="A162" s="25"/>
      <c r="B162" s="26"/>
      <c r="C162" s="25"/>
      <c r="D162" s="25"/>
      <c r="E162" s="25"/>
      <c r="F162" s="25"/>
      <c r="G162" s="26"/>
      <c r="H162" s="25"/>
      <c r="I162" s="26"/>
      <c r="J162" s="26"/>
      <c r="K162" s="25"/>
      <c r="L162" s="26"/>
      <c r="M162" s="26"/>
      <c r="N162" s="25"/>
      <c r="O162" s="30"/>
      <c r="P162" s="30"/>
      <c r="Q162" s="30"/>
      <c r="R162" s="30"/>
      <c r="S162" s="30"/>
      <c r="T162" s="30"/>
      <c r="U162" s="30"/>
      <c r="V162" s="30"/>
      <c r="W162" s="30"/>
      <c r="X162" s="25"/>
      <c r="Y162" s="25"/>
      <c r="Z162" s="25"/>
    </row>
    <row r="163" customFormat="false" ht="30" hidden="false" customHeight="true" outlineLevel="0" collapsed="false">
      <c r="A163" s="25"/>
      <c r="B163" s="26"/>
      <c r="C163" s="25"/>
      <c r="D163" s="25"/>
      <c r="E163" s="25"/>
      <c r="F163" s="25"/>
      <c r="G163" s="26"/>
      <c r="H163" s="25"/>
      <c r="I163" s="26"/>
      <c r="J163" s="26"/>
      <c r="K163" s="25"/>
      <c r="L163" s="25"/>
      <c r="M163" s="25"/>
      <c r="N163" s="25"/>
      <c r="O163" s="30"/>
      <c r="P163" s="30"/>
      <c r="Q163" s="30"/>
      <c r="R163" s="30"/>
      <c r="S163" s="30"/>
      <c r="T163" s="30"/>
      <c r="U163" s="30"/>
      <c r="V163" s="30"/>
      <c r="W163" s="30"/>
      <c r="X163" s="25"/>
      <c r="Y163" s="25"/>
      <c r="Z163" s="25"/>
    </row>
    <row r="164" customFormat="false" ht="30" hidden="false" customHeight="true" outlineLevel="0" collapsed="false">
      <c r="A164" s="25"/>
      <c r="B164" s="26"/>
      <c r="C164" s="25"/>
      <c r="D164" s="25"/>
      <c r="E164" s="25"/>
      <c r="F164" s="25"/>
      <c r="G164" s="26"/>
      <c r="H164" s="25"/>
      <c r="I164" s="26"/>
      <c r="J164" s="26"/>
      <c r="K164" s="25"/>
      <c r="L164" s="25"/>
      <c r="M164" s="25"/>
      <c r="N164" s="25"/>
      <c r="O164" s="30"/>
      <c r="P164" s="30"/>
      <c r="Q164" s="30"/>
      <c r="R164" s="30"/>
      <c r="S164" s="30"/>
      <c r="T164" s="30"/>
      <c r="U164" s="30"/>
      <c r="V164" s="30"/>
      <c r="W164" s="30"/>
      <c r="X164" s="25"/>
      <c r="Y164" s="25"/>
      <c r="Z164" s="25"/>
    </row>
    <row r="165" customFormat="false" ht="30" hidden="false" customHeight="true" outlineLevel="0" collapsed="false">
      <c r="A165" s="25"/>
      <c r="B165" s="26"/>
      <c r="C165" s="25"/>
      <c r="D165" s="25"/>
      <c r="E165" s="25"/>
      <c r="F165" s="25"/>
      <c r="G165" s="26"/>
      <c r="H165" s="25"/>
      <c r="I165" s="26"/>
      <c r="J165" s="26"/>
      <c r="K165" s="25"/>
      <c r="L165" s="25"/>
      <c r="M165" s="25"/>
      <c r="N165" s="25"/>
      <c r="O165" s="30"/>
      <c r="P165" s="30"/>
      <c r="Q165" s="30"/>
      <c r="R165" s="30"/>
      <c r="S165" s="30"/>
      <c r="T165" s="30"/>
      <c r="U165" s="30"/>
      <c r="V165" s="30"/>
      <c r="W165" s="30"/>
      <c r="X165" s="25"/>
      <c r="Y165" s="25"/>
      <c r="Z165" s="25"/>
    </row>
    <row r="166" customFormat="false" ht="30" hidden="false" customHeight="true" outlineLevel="0" collapsed="false">
      <c r="A166" s="25"/>
      <c r="B166" s="26"/>
      <c r="C166" s="25"/>
      <c r="D166" s="25"/>
      <c r="E166" s="25"/>
      <c r="F166" s="25"/>
      <c r="G166" s="26"/>
      <c r="H166" s="25"/>
      <c r="I166" s="26"/>
      <c r="J166" s="26"/>
      <c r="K166" s="25"/>
      <c r="L166" s="25"/>
      <c r="M166" s="25"/>
      <c r="N166" s="25"/>
      <c r="O166" s="30"/>
      <c r="P166" s="30"/>
      <c r="Q166" s="30"/>
      <c r="R166" s="30"/>
      <c r="S166" s="30"/>
      <c r="T166" s="30"/>
      <c r="U166" s="30"/>
      <c r="V166" s="30"/>
      <c r="W166" s="30"/>
      <c r="X166" s="25"/>
      <c r="Y166" s="25"/>
      <c r="Z166" s="25"/>
    </row>
    <row r="167" customFormat="false" ht="30" hidden="false" customHeight="true" outlineLevel="0" collapsed="false">
      <c r="A167" s="25"/>
      <c r="B167" s="26"/>
      <c r="C167" s="25"/>
      <c r="D167" s="25"/>
      <c r="E167" s="25"/>
      <c r="F167" s="25"/>
      <c r="G167" s="26"/>
      <c r="H167" s="25"/>
      <c r="I167" s="26"/>
      <c r="J167" s="26"/>
      <c r="K167" s="25"/>
      <c r="L167" s="25"/>
      <c r="M167" s="25"/>
      <c r="N167" s="25"/>
      <c r="O167" s="30"/>
      <c r="P167" s="30"/>
      <c r="Q167" s="30"/>
      <c r="R167" s="30"/>
      <c r="S167" s="30"/>
      <c r="T167" s="30"/>
      <c r="U167" s="30"/>
      <c r="V167" s="30"/>
      <c r="W167" s="30"/>
      <c r="X167" s="25"/>
      <c r="Y167" s="25"/>
      <c r="Z167" s="25"/>
    </row>
    <row r="168" customFormat="false" ht="30" hidden="false" customHeight="true" outlineLevel="0" collapsed="false">
      <c r="A168" s="25"/>
      <c r="B168" s="26"/>
      <c r="C168" s="25"/>
      <c r="D168" s="25"/>
      <c r="E168" s="25"/>
      <c r="F168" s="25"/>
      <c r="G168" s="26"/>
      <c r="H168" s="25"/>
      <c r="I168" s="26"/>
      <c r="J168" s="26"/>
      <c r="K168" s="25"/>
      <c r="L168" s="25"/>
      <c r="M168" s="25"/>
      <c r="N168" s="25"/>
      <c r="O168" s="30"/>
      <c r="P168" s="30"/>
      <c r="Q168" s="30"/>
      <c r="R168" s="30"/>
      <c r="S168" s="30"/>
      <c r="T168" s="30"/>
      <c r="U168" s="30"/>
      <c r="V168" s="30"/>
      <c r="W168" s="30"/>
      <c r="X168" s="25"/>
      <c r="Y168" s="25"/>
      <c r="Z168" s="25"/>
    </row>
    <row r="169" customFormat="false" ht="30" hidden="false" customHeight="true" outlineLevel="0" collapsed="false">
      <c r="A169" s="25"/>
      <c r="B169" s="26"/>
      <c r="C169" s="25"/>
      <c r="D169" s="25"/>
      <c r="E169" s="25"/>
      <c r="F169" s="25"/>
      <c r="G169" s="26"/>
      <c r="H169" s="25"/>
      <c r="I169" s="25"/>
      <c r="J169" s="25"/>
      <c r="K169" s="25"/>
      <c r="L169" s="25"/>
      <c r="M169" s="25"/>
      <c r="N169" s="25"/>
      <c r="O169" s="30"/>
      <c r="P169" s="30"/>
      <c r="Q169" s="30"/>
      <c r="R169" s="30"/>
      <c r="S169" s="30"/>
      <c r="T169" s="30"/>
      <c r="U169" s="30"/>
      <c r="V169" s="30"/>
      <c r="W169" s="30"/>
      <c r="X169" s="30"/>
      <c r="Y169" s="30"/>
      <c r="Z169" s="30"/>
    </row>
    <row r="170" customFormat="false" ht="30" hidden="false" customHeight="true" outlineLevel="0" collapsed="false">
      <c r="A170" s="25"/>
      <c r="B170" s="26"/>
      <c r="C170" s="25"/>
      <c r="D170" s="25"/>
      <c r="E170" s="25"/>
      <c r="F170" s="25"/>
      <c r="G170" s="26"/>
      <c r="H170" s="25"/>
      <c r="I170" s="25"/>
      <c r="J170" s="25"/>
      <c r="K170" s="25"/>
      <c r="L170" s="25"/>
      <c r="M170" s="25"/>
      <c r="N170" s="25"/>
      <c r="O170" s="30"/>
      <c r="P170" s="30"/>
      <c r="Q170" s="30"/>
      <c r="R170" s="30"/>
      <c r="S170" s="30"/>
      <c r="T170" s="30"/>
      <c r="U170" s="30"/>
      <c r="V170" s="30"/>
      <c r="W170" s="30"/>
      <c r="X170" s="30"/>
      <c r="Y170" s="30"/>
      <c r="Z170" s="30"/>
    </row>
    <row r="171" customFormat="false" ht="30" hidden="false" customHeight="true" outlineLevel="0" collapsed="false">
      <c r="A171" s="25"/>
      <c r="B171" s="26"/>
      <c r="C171" s="25"/>
      <c r="D171" s="25"/>
      <c r="E171" s="25"/>
      <c r="F171" s="25"/>
      <c r="G171" s="26"/>
      <c r="H171" s="25"/>
      <c r="I171" s="25"/>
      <c r="J171" s="25"/>
      <c r="K171" s="25"/>
      <c r="L171" s="25"/>
      <c r="M171" s="25"/>
      <c r="N171" s="25"/>
      <c r="O171" s="30"/>
      <c r="P171" s="30"/>
      <c r="Q171" s="30"/>
      <c r="R171" s="30"/>
      <c r="S171" s="30"/>
      <c r="T171" s="30"/>
      <c r="U171" s="30"/>
      <c r="V171" s="30"/>
      <c r="W171" s="30"/>
      <c r="X171" s="30"/>
      <c r="Y171" s="30"/>
      <c r="Z171" s="30"/>
    </row>
    <row r="172" customFormat="false" ht="30" hidden="false" customHeight="true" outlineLevel="0" collapsed="false">
      <c r="A172" s="25"/>
      <c r="B172" s="26"/>
      <c r="C172" s="25"/>
      <c r="D172" s="25"/>
      <c r="E172" s="25"/>
      <c r="F172" s="25"/>
      <c r="G172" s="26"/>
      <c r="H172" s="25"/>
      <c r="I172" s="25"/>
      <c r="J172" s="25"/>
      <c r="K172" s="25"/>
      <c r="L172" s="25"/>
      <c r="M172" s="25"/>
      <c r="N172" s="25"/>
      <c r="O172" s="30"/>
      <c r="P172" s="30"/>
      <c r="Q172" s="30"/>
      <c r="R172" s="30"/>
      <c r="S172" s="30"/>
      <c r="T172" s="30"/>
      <c r="U172" s="30"/>
      <c r="V172" s="30"/>
      <c r="W172" s="30"/>
      <c r="X172" s="30"/>
      <c r="Y172" s="30"/>
      <c r="Z172" s="30"/>
    </row>
    <row r="173" customFormat="false" ht="30" hidden="false" customHeight="true" outlineLevel="0" collapsed="false">
      <c r="A173" s="25"/>
      <c r="B173" s="26"/>
      <c r="C173" s="25"/>
      <c r="D173" s="25"/>
      <c r="E173" s="25"/>
      <c r="F173" s="25"/>
      <c r="G173" s="26"/>
      <c r="H173" s="25"/>
      <c r="I173" s="25"/>
      <c r="J173" s="25"/>
      <c r="K173" s="25"/>
      <c r="L173" s="25"/>
      <c r="M173" s="25"/>
      <c r="N173" s="25"/>
      <c r="O173" s="30"/>
      <c r="P173" s="30"/>
      <c r="Q173" s="30"/>
      <c r="R173" s="30"/>
      <c r="S173" s="30"/>
      <c r="T173" s="30"/>
      <c r="U173" s="30"/>
      <c r="V173" s="30"/>
      <c r="W173" s="30"/>
      <c r="X173" s="30"/>
      <c r="Y173" s="30"/>
      <c r="Z173" s="30"/>
    </row>
    <row r="174" customFormat="false" ht="30" hidden="false" customHeight="true" outlineLevel="0" collapsed="false">
      <c r="A174" s="25"/>
      <c r="B174" s="26"/>
      <c r="C174" s="25"/>
      <c r="D174" s="25"/>
      <c r="E174" s="25"/>
      <c r="F174" s="25"/>
      <c r="G174" s="26"/>
      <c r="H174" s="25"/>
      <c r="I174" s="25"/>
      <c r="J174" s="25"/>
      <c r="K174" s="25"/>
      <c r="L174" s="25"/>
      <c r="M174" s="25"/>
      <c r="N174" s="25"/>
      <c r="O174" s="30"/>
      <c r="P174" s="30"/>
      <c r="Q174" s="30"/>
      <c r="R174" s="30"/>
      <c r="S174" s="30"/>
      <c r="T174" s="30"/>
      <c r="U174" s="30"/>
      <c r="V174" s="30"/>
      <c r="W174" s="30"/>
      <c r="X174" s="30"/>
      <c r="Y174" s="30"/>
      <c r="Z174" s="30"/>
    </row>
    <row r="175" customFormat="false" ht="30" hidden="false" customHeight="true" outlineLevel="0" collapsed="false">
      <c r="A175" s="25"/>
      <c r="B175" s="26"/>
      <c r="C175" s="25"/>
      <c r="D175" s="25"/>
      <c r="E175" s="25"/>
      <c r="F175" s="25"/>
      <c r="G175" s="26"/>
      <c r="H175" s="25"/>
      <c r="I175" s="25"/>
      <c r="J175" s="25"/>
      <c r="K175" s="25"/>
      <c r="L175" s="25"/>
      <c r="M175" s="25"/>
      <c r="N175" s="25"/>
      <c r="O175" s="30"/>
      <c r="P175" s="30"/>
      <c r="Q175" s="30"/>
      <c r="R175" s="30"/>
      <c r="S175" s="30"/>
      <c r="T175" s="30"/>
      <c r="U175" s="30"/>
      <c r="V175" s="30"/>
      <c r="W175" s="30"/>
      <c r="X175" s="30"/>
      <c r="Y175" s="30"/>
      <c r="Z175" s="30"/>
    </row>
    <row r="176" customFormat="false" ht="30" hidden="false" customHeight="true" outlineLevel="0" collapsed="false">
      <c r="A176" s="25"/>
      <c r="B176" s="26"/>
      <c r="C176" s="25"/>
      <c r="D176" s="25"/>
      <c r="E176" s="25"/>
      <c r="F176" s="25"/>
      <c r="G176" s="26"/>
      <c r="H176" s="25"/>
      <c r="I176" s="25"/>
      <c r="J176" s="25"/>
      <c r="K176" s="25"/>
      <c r="L176" s="25"/>
      <c r="M176" s="25"/>
      <c r="N176" s="25"/>
      <c r="O176" s="30"/>
      <c r="P176" s="30"/>
      <c r="Q176" s="30"/>
      <c r="R176" s="30"/>
      <c r="S176" s="30"/>
      <c r="T176" s="30"/>
      <c r="U176" s="30"/>
      <c r="V176" s="30"/>
      <c r="W176" s="30"/>
      <c r="X176" s="30"/>
      <c r="Y176" s="30"/>
      <c r="Z176" s="30"/>
    </row>
    <row r="177" customFormat="false" ht="30" hidden="false" customHeight="true" outlineLevel="0" collapsed="false">
      <c r="A177" s="25"/>
      <c r="B177" s="26"/>
      <c r="C177" s="25"/>
      <c r="D177" s="25"/>
      <c r="E177" s="25"/>
      <c r="F177" s="25"/>
      <c r="G177" s="26"/>
      <c r="H177" s="25"/>
      <c r="I177" s="25"/>
      <c r="J177" s="25"/>
      <c r="K177" s="25"/>
      <c r="L177" s="25"/>
      <c r="M177" s="25"/>
      <c r="N177" s="25"/>
      <c r="O177" s="30"/>
      <c r="P177" s="30"/>
      <c r="Q177" s="30"/>
      <c r="R177" s="30"/>
      <c r="S177" s="30"/>
      <c r="T177" s="30"/>
      <c r="U177" s="30"/>
      <c r="V177" s="30"/>
      <c r="W177" s="30"/>
      <c r="X177" s="30"/>
      <c r="Y177" s="30"/>
      <c r="Z177" s="30"/>
    </row>
    <row r="178" customFormat="false" ht="30" hidden="false" customHeight="true" outlineLevel="0" collapsed="false">
      <c r="A178" s="25"/>
      <c r="B178" s="26"/>
      <c r="C178" s="25"/>
      <c r="D178" s="25"/>
      <c r="E178" s="25"/>
      <c r="F178" s="25"/>
      <c r="G178" s="26"/>
      <c r="H178" s="25"/>
      <c r="I178" s="25"/>
      <c r="J178" s="25"/>
      <c r="K178" s="25"/>
      <c r="L178" s="25"/>
      <c r="M178" s="25"/>
      <c r="N178" s="25"/>
      <c r="O178" s="30"/>
      <c r="P178" s="30"/>
      <c r="Q178" s="30"/>
      <c r="R178" s="30"/>
      <c r="S178" s="30"/>
      <c r="T178" s="30"/>
      <c r="U178" s="30"/>
      <c r="V178" s="30"/>
      <c r="W178" s="30"/>
      <c r="X178" s="30"/>
      <c r="Y178" s="30"/>
      <c r="Z178" s="30"/>
    </row>
    <row r="179" customFormat="false" ht="30" hidden="false" customHeight="true" outlineLevel="0" collapsed="false">
      <c r="A179" s="25"/>
      <c r="B179" s="26"/>
      <c r="C179" s="25"/>
      <c r="D179" s="25"/>
      <c r="E179" s="25"/>
      <c r="F179" s="25"/>
      <c r="G179" s="26"/>
      <c r="H179" s="25"/>
      <c r="I179" s="25"/>
      <c r="J179" s="25"/>
      <c r="K179" s="25"/>
      <c r="L179" s="25"/>
      <c r="M179" s="25"/>
      <c r="N179" s="25"/>
      <c r="O179" s="30"/>
      <c r="P179" s="30"/>
      <c r="Q179" s="30"/>
      <c r="R179" s="30"/>
      <c r="S179" s="30"/>
      <c r="T179" s="30"/>
      <c r="U179" s="30"/>
      <c r="V179" s="30"/>
      <c r="W179" s="30"/>
      <c r="X179" s="30"/>
      <c r="Y179" s="30"/>
      <c r="Z179" s="30"/>
    </row>
    <row r="180" customFormat="false" ht="30" hidden="false" customHeight="true" outlineLevel="0" collapsed="false">
      <c r="A180" s="25"/>
      <c r="B180" s="26"/>
      <c r="C180" s="25"/>
      <c r="D180" s="25"/>
      <c r="E180" s="25"/>
      <c r="F180" s="25"/>
      <c r="G180" s="26"/>
      <c r="H180" s="25"/>
      <c r="I180" s="25"/>
      <c r="J180" s="25"/>
      <c r="K180" s="25"/>
      <c r="L180" s="25"/>
      <c r="M180" s="25"/>
      <c r="N180" s="25"/>
      <c r="O180" s="30"/>
      <c r="P180" s="30"/>
      <c r="Q180" s="30"/>
      <c r="R180" s="30"/>
      <c r="S180" s="30"/>
      <c r="T180" s="30"/>
      <c r="U180" s="30"/>
      <c r="V180" s="30"/>
      <c r="W180" s="30"/>
      <c r="X180" s="30"/>
      <c r="Y180" s="30"/>
      <c r="Z180" s="30"/>
    </row>
    <row r="181" customFormat="false" ht="30" hidden="false" customHeight="true" outlineLevel="0" collapsed="false">
      <c r="A181" s="25"/>
      <c r="B181" s="26"/>
      <c r="C181" s="25"/>
      <c r="D181" s="25"/>
      <c r="E181" s="25"/>
      <c r="F181" s="25"/>
      <c r="G181" s="26"/>
      <c r="H181" s="25"/>
      <c r="I181" s="25"/>
      <c r="J181" s="25"/>
      <c r="K181" s="25"/>
      <c r="L181" s="25"/>
      <c r="M181" s="25"/>
      <c r="N181" s="25"/>
      <c r="O181" s="30"/>
      <c r="P181" s="30"/>
      <c r="Q181" s="30"/>
      <c r="R181" s="30"/>
      <c r="S181" s="30"/>
      <c r="T181" s="30"/>
      <c r="U181" s="30"/>
      <c r="V181" s="30"/>
      <c r="W181" s="30"/>
      <c r="X181" s="30"/>
      <c r="Y181" s="30"/>
      <c r="Z181" s="30"/>
    </row>
    <row r="182" customFormat="false" ht="30" hidden="false" customHeight="true" outlineLevel="0" collapsed="false">
      <c r="A182" s="25"/>
      <c r="B182" s="26"/>
      <c r="C182" s="25"/>
      <c r="D182" s="25"/>
      <c r="E182" s="25"/>
      <c r="F182" s="25"/>
      <c r="G182" s="26"/>
      <c r="H182" s="25"/>
      <c r="I182" s="25"/>
      <c r="J182" s="25"/>
      <c r="K182" s="25"/>
      <c r="L182" s="25"/>
      <c r="M182" s="25"/>
      <c r="N182" s="25"/>
      <c r="O182" s="30"/>
      <c r="P182" s="30"/>
      <c r="Q182" s="30"/>
      <c r="R182" s="30"/>
      <c r="S182" s="30"/>
      <c r="T182" s="30"/>
      <c r="U182" s="30"/>
      <c r="V182" s="30"/>
      <c r="W182" s="30"/>
      <c r="X182" s="30"/>
      <c r="Y182" s="30"/>
      <c r="Z182" s="30"/>
    </row>
    <row r="183" customFormat="false" ht="30" hidden="false" customHeight="true" outlineLevel="0" collapsed="false">
      <c r="A183" s="25"/>
      <c r="B183" s="26"/>
      <c r="C183" s="25"/>
      <c r="D183" s="25"/>
      <c r="E183" s="25"/>
      <c r="F183" s="25"/>
      <c r="G183" s="26"/>
      <c r="H183" s="25"/>
      <c r="I183" s="25"/>
      <c r="J183" s="25"/>
      <c r="K183" s="25"/>
      <c r="L183" s="25"/>
      <c r="M183" s="25"/>
      <c r="N183" s="25"/>
      <c r="O183" s="30"/>
      <c r="P183" s="30"/>
      <c r="Q183" s="30"/>
      <c r="R183" s="30"/>
      <c r="S183" s="30"/>
      <c r="T183" s="30"/>
      <c r="U183" s="30"/>
      <c r="V183" s="30"/>
      <c r="W183" s="30"/>
      <c r="X183" s="30"/>
      <c r="Y183" s="30"/>
      <c r="Z183" s="30"/>
    </row>
    <row r="184" customFormat="false" ht="30" hidden="false" customHeight="true" outlineLevel="0" collapsed="false">
      <c r="A184" s="25"/>
      <c r="B184" s="26"/>
      <c r="C184" s="25"/>
      <c r="D184" s="25"/>
      <c r="E184" s="25"/>
      <c r="F184" s="25"/>
      <c r="G184" s="26"/>
      <c r="H184" s="25"/>
      <c r="I184" s="25"/>
      <c r="J184" s="25"/>
      <c r="K184" s="25"/>
      <c r="L184" s="25"/>
      <c r="M184" s="25"/>
      <c r="N184" s="25"/>
      <c r="O184" s="30"/>
      <c r="P184" s="30"/>
      <c r="Q184" s="30"/>
      <c r="R184" s="30"/>
      <c r="S184" s="30"/>
      <c r="T184" s="30"/>
      <c r="U184" s="30"/>
      <c r="V184" s="30"/>
      <c r="W184" s="30"/>
      <c r="X184" s="30"/>
      <c r="Y184" s="30"/>
      <c r="Z184" s="30"/>
    </row>
    <row r="185" customFormat="false" ht="30" hidden="false" customHeight="true" outlineLevel="0" collapsed="false">
      <c r="A185" s="25"/>
      <c r="B185" s="26"/>
      <c r="C185" s="25"/>
      <c r="D185" s="25"/>
      <c r="E185" s="25"/>
      <c r="F185" s="25"/>
      <c r="G185" s="26"/>
      <c r="H185" s="25"/>
      <c r="I185" s="25"/>
      <c r="J185" s="25"/>
      <c r="K185" s="25"/>
      <c r="L185" s="25"/>
      <c r="M185" s="25"/>
      <c r="N185" s="25"/>
      <c r="O185" s="30"/>
      <c r="P185" s="30"/>
      <c r="Q185" s="30"/>
      <c r="R185" s="30"/>
      <c r="S185" s="30"/>
      <c r="T185" s="30"/>
      <c r="U185" s="30"/>
      <c r="V185" s="30"/>
      <c r="W185" s="30"/>
      <c r="X185" s="30"/>
      <c r="Y185" s="30"/>
      <c r="Z185" s="30"/>
    </row>
    <row r="186" customFormat="false" ht="30" hidden="false" customHeight="true" outlineLevel="0" collapsed="false">
      <c r="A186" s="25"/>
      <c r="B186" s="26"/>
      <c r="C186" s="25"/>
      <c r="D186" s="25"/>
      <c r="E186" s="25"/>
      <c r="F186" s="25"/>
      <c r="G186" s="26"/>
      <c r="H186" s="25"/>
      <c r="I186" s="25"/>
      <c r="J186" s="25"/>
      <c r="K186" s="25"/>
      <c r="L186" s="25"/>
      <c r="M186" s="25"/>
      <c r="N186" s="25"/>
      <c r="O186" s="30"/>
      <c r="P186" s="30"/>
      <c r="Q186" s="30"/>
      <c r="R186" s="30"/>
      <c r="S186" s="30"/>
      <c r="T186" s="30"/>
      <c r="U186" s="30"/>
      <c r="V186" s="30"/>
      <c r="W186" s="30"/>
      <c r="X186" s="30"/>
      <c r="Y186" s="30"/>
      <c r="Z186" s="30"/>
    </row>
    <row r="187" customFormat="false" ht="30" hidden="false" customHeight="true" outlineLevel="0" collapsed="false">
      <c r="A187" s="25"/>
      <c r="B187" s="26"/>
      <c r="C187" s="25"/>
      <c r="D187" s="25"/>
      <c r="E187" s="25"/>
      <c r="F187" s="25"/>
      <c r="G187" s="26"/>
      <c r="H187" s="25"/>
      <c r="I187" s="25"/>
      <c r="J187" s="25"/>
      <c r="K187" s="25"/>
      <c r="L187" s="25"/>
      <c r="M187" s="25"/>
      <c r="N187" s="25"/>
      <c r="O187" s="30"/>
      <c r="P187" s="30"/>
      <c r="Q187" s="30"/>
      <c r="R187" s="30"/>
      <c r="S187" s="30"/>
      <c r="T187" s="30"/>
      <c r="U187" s="30"/>
      <c r="V187" s="30"/>
      <c r="W187" s="30"/>
      <c r="X187" s="30"/>
      <c r="Y187" s="30"/>
      <c r="Z187" s="30"/>
    </row>
    <row r="188" customFormat="false" ht="30" hidden="false" customHeight="true" outlineLevel="0" collapsed="false">
      <c r="A188" s="25"/>
      <c r="B188" s="26"/>
      <c r="C188" s="25"/>
      <c r="D188" s="25"/>
      <c r="E188" s="25"/>
      <c r="F188" s="25"/>
      <c r="G188" s="26"/>
      <c r="H188" s="25"/>
      <c r="I188" s="25"/>
      <c r="J188" s="25"/>
      <c r="K188" s="25"/>
      <c r="L188" s="25"/>
      <c r="M188" s="25"/>
      <c r="N188" s="25"/>
      <c r="O188" s="30"/>
      <c r="P188" s="30"/>
      <c r="Q188" s="30"/>
      <c r="R188" s="30"/>
      <c r="S188" s="30"/>
      <c r="T188" s="30"/>
      <c r="U188" s="30"/>
      <c r="V188" s="30"/>
      <c r="W188" s="30"/>
      <c r="X188" s="30"/>
      <c r="Y188" s="30"/>
      <c r="Z188" s="30"/>
    </row>
    <row r="189" customFormat="false" ht="30" hidden="false" customHeight="true" outlineLevel="0" collapsed="false">
      <c r="A189" s="25"/>
      <c r="B189" s="26"/>
      <c r="C189" s="25"/>
      <c r="D189" s="25"/>
      <c r="E189" s="25"/>
      <c r="F189" s="25"/>
      <c r="G189" s="26"/>
      <c r="H189" s="25"/>
      <c r="I189" s="25"/>
      <c r="J189" s="25"/>
      <c r="K189" s="25"/>
      <c r="L189" s="25"/>
      <c r="M189" s="25"/>
      <c r="N189" s="25"/>
      <c r="O189" s="30"/>
      <c r="P189" s="30"/>
      <c r="Q189" s="30"/>
      <c r="R189" s="30"/>
      <c r="S189" s="30"/>
      <c r="T189" s="30"/>
      <c r="U189" s="30"/>
      <c r="V189" s="30"/>
      <c r="W189" s="30"/>
      <c r="X189" s="30"/>
      <c r="Y189" s="30"/>
      <c r="Z189" s="30"/>
    </row>
    <row r="190" customFormat="false" ht="30" hidden="false" customHeight="true" outlineLevel="0" collapsed="false">
      <c r="A190" s="25"/>
      <c r="B190" s="26"/>
      <c r="C190" s="25"/>
      <c r="D190" s="25"/>
      <c r="E190" s="25"/>
      <c r="F190" s="25"/>
      <c r="G190" s="26"/>
      <c r="H190" s="25"/>
      <c r="I190" s="25"/>
      <c r="J190" s="25"/>
      <c r="K190" s="25"/>
      <c r="L190" s="25"/>
      <c r="M190" s="25"/>
      <c r="N190" s="25"/>
      <c r="O190" s="30"/>
      <c r="P190" s="30"/>
      <c r="Q190" s="30"/>
      <c r="R190" s="30"/>
      <c r="S190" s="30"/>
      <c r="T190" s="30"/>
      <c r="U190" s="30"/>
      <c r="V190" s="30"/>
      <c r="W190" s="30"/>
      <c r="X190" s="30"/>
      <c r="Y190" s="30"/>
      <c r="Z190" s="30"/>
    </row>
    <row r="191" customFormat="false" ht="30" hidden="false" customHeight="true" outlineLevel="0" collapsed="false">
      <c r="A191" s="25"/>
      <c r="B191" s="26"/>
      <c r="C191" s="25"/>
      <c r="D191" s="25"/>
      <c r="E191" s="25"/>
      <c r="F191" s="25"/>
      <c r="G191" s="26"/>
      <c r="H191" s="25"/>
      <c r="I191" s="25"/>
      <c r="J191" s="25"/>
      <c r="K191" s="25"/>
      <c r="L191" s="25"/>
      <c r="M191" s="25"/>
      <c r="N191" s="25"/>
      <c r="O191" s="30"/>
      <c r="P191" s="30"/>
      <c r="Q191" s="30"/>
      <c r="R191" s="30"/>
      <c r="S191" s="30"/>
      <c r="T191" s="30"/>
      <c r="U191" s="30"/>
      <c r="V191" s="30"/>
      <c r="W191" s="30"/>
      <c r="X191" s="30"/>
      <c r="Y191" s="30"/>
      <c r="Z191" s="30"/>
    </row>
    <row r="192" customFormat="false" ht="30" hidden="false" customHeight="true" outlineLevel="0" collapsed="false">
      <c r="A192" s="25"/>
      <c r="B192" s="26"/>
      <c r="C192" s="25"/>
      <c r="D192" s="25"/>
      <c r="E192" s="25"/>
      <c r="F192" s="25"/>
      <c r="G192" s="26"/>
      <c r="H192" s="25"/>
      <c r="I192" s="25"/>
      <c r="J192" s="25"/>
      <c r="K192" s="25"/>
      <c r="L192" s="25"/>
      <c r="M192" s="25"/>
      <c r="N192" s="25"/>
      <c r="O192" s="30"/>
      <c r="P192" s="30"/>
      <c r="Q192" s="30"/>
      <c r="R192" s="30"/>
      <c r="S192" s="30"/>
      <c r="T192" s="30"/>
      <c r="U192" s="30"/>
      <c r="V192" s="30"/>
      <c r="W192" s="30"/>
      <c r="X192" s="30"/>
      <c r="Y192" s="30"/>
      <c r="Z192" s="30"/>
    </row>
    <row r="193" customFormat="false" ht="30" hidden="false" customHeight="true" outlineLevel="0" collapsed="false">
      <c r="A193" s="25"/>
      <c r="B193" s="26"/>
      <c r="C193" s="25"/>
      <c r="D193" s="25"/>
      <c r="E193" s="25"/>
      <c r="F193" s="25"/>
      <c r="G193" s="26"/>
      <c r="H193" s="25"/>
      <c r="I193" s="25"/>
      <c r="J193" s="25"/>
      <c r="K193" s="25"/>
      <c r="L193" s="25"/>
      <c r="M193" s="25"/>
      <c r="N193" s="25"/>
      <c r="O193" s="30"/>
      <c r="P193" s="30"/>
      <c r="Q193" s="30"/>
      <c r="R193" s="30"/>
      <c r="S193" s="30"/>
      <c r="T193" s="30"/>
      <c r="U193" s="30"/>
      <c r="V193" s="30"/>
      <c r="W193" s="30"/>
      <c r="X193" s="30"/>
      <c r="Y193" s="30"/>
      <c r="Z193" s="30"/>
    </row>
    <row r="194" customFormat="false" ht="30" hidden="false" customHeight="true" outlineLevel="0" collapsed="false">
      <c r="A194" s="25"/>
      <c r="B194" s="26"/>
      <c r="C194" s="25"/>
      <c r="D194" s="25"/>
      <c r="E194" s="25"/>
      <c r="F194" s="25"/>
      <c r="G194" s="26"/>
      <c r="H194" s="25"/>
      <c r="I194" s="25"/>
      <c r="J194" s="25"/>
      <c r="K194" s="25"/>
      <c r="L194" s="25"/>
      <c r="M194" s="25"/>
      <c r="N194" s="25"/>
      <c r="O194" s="30"/>
      <c r="P194" s="30"/>
      <c r="Q194" s="30"/>
      <c r="R194" s="30"/>
      <c r="S194" s="30"/>
      <c r="T194" s="30"/>
      <c r="U194" s="30"/>
      <c r="V194" s="30"/>
      <c r="W194" s="30"/>
      <c r="X194" s="30"/>
      <c r="Y194" s="30"/>
      <c r="Z194" s="30"/>
    </row>
    <row r="195" customFormat="false" ht="30" hidden="false" customHeight="true" outlineLevel="0" collapsed="false">
      <c r="A195" s="25"/>
      <c r="B195" s="26"/>
      <c r="C195" s="25"/>
      <c r="D195" s="25"/>
      <c r="E195" s="25"/>
      <c r="F195" s="25"/>
      <c r="G195" s="26"/>
      <c r="H195" s="25"/>
      <c r="I195" s="25"/>
      <c r="J195" s="25"/>
      <c r="K195" s="25"/>
      <c r="L195" s="25"/>
      <c r="M195" s="25"/>
      <c r="N195" s="25"/>
      <c r="O195" s="30"/>
      <c r="P195" s="30"/>
      <c r="Q195" s="30"/>
      <c r="R195" s="30"/>
      <c r="S195" s="30"/>
      <c r="T195" s="30"/>
      <c r="U195" s="30"/>
      <c r="V195" s="30"/>
      <c r="W195" s="30"/>
      <c r="X195" s="30"/>
      <c r="Y195" s="30"/>
      <c r="Z195" s="30"/>
    </row>
    <row r="196" customFormat="false" ht="30" hidden="false" customHeight="true" outlineLevel="0" collapsed="false">
      <c r="A196" s="25"/>
      <c r="B196" s="26"/>
      <c r="C196" s="25"/>
      <c r="D196" s="25"/>
      <c r="E196" s="25"/>
      <c r="F196" s="25"/>
      <c r="G196" s="26"/>
      <c r="H196" s="25"/>
      <c r="I196" s="25"/>
      <c r="J196" s="25"/>
      <c r="K196" s="25"/>
      <c r="L196" s="25"/>
      <c r="M196" s="25"/>
      <c r="N196" s="25"/>
      <c r="O196" s="30"/>
      <c r="P196" s="30"/>
      <c r="Q196" s="30"/>
      <c r="R196" s="30"/>
      <c r="S196" s="30"/>
      <c r="T196" s="30"/>
      <c r="U196" s="30"/>
      <c r="V196" s="30"/>
      <c r="W196" s="30"/>
      <c r="X196" s="30"/>
      <c r="Y196" s="30"/>
      <c r="Z196" s="30"/>
    </row>
    <row r="197" customFormat="false" ht="30" hidden="false" customHeight="true" outlineLevel="0" collapsed="false">
      <c r="A197" s="25"/>
      <c r="B197" s="26"/>
      <c r="C197" s="25"/>
      <c r="D197" s="25"/>
      <c r="E197" s="25"/>
      <c r="F197" s="25"/>
      <c r="G197" s="26"/>
      <c r="H197" s="25"/>
      <c r="I197" s="25"/>
      <c r="J197" s="25"/>
      <c r="K197" s="25"/>
      <c r="L197" s="25"/>
      <c r="M197" s="25"/>
      <c r="N197" s="25"/>
      <c r="O197" s="30"/>
      <c r="P197" s="30"/>
      <c r="Q197" s="30"/>
      <c r="R197" s="30"/>
      <c r="S197" s="30"/>
      <c r="T197" s="30"/>
      <c r="U197" s="30"/>
      <c r="V197" s="30"/>
      <c r="W197" s="30"/>
      <c r="X197" s="30"/>
      <c r="Y197" s="30"/>
      <c r="Z197" s="30"/>
    </row>
    <row r="198" customFormat="false" ht="30" hidden="false" customHeight="true" outlineLevel="0" collapsed="false">
      <c r="A198" s="25"/>
      <c r="B198" s="26"/>
      <c r="C198" s="25"/>
      <c r="D198" s="25"/>
      <c r="E198" s="25"/>
      <c r="F198" s="25"/>
      <c r="G198" s="26"/>
      <c r="H198" s="25"/>
      <c r="I198" s="25"/>
      <c r="J198" s="25"/>
      <c r="K198" s="25"/>
      <c r="L198" s="25"/>
      <c r="M198" s="25"/>
      <c r="N198" s="25"/>
      <c r="O198" s="30"/>
      <c r="P198" s="30"/>
      <c r="Q198" s="30"/>
      <c r="R198" s="30"/>
      <c r="S198" s="30"/>
      <c r="T198" s="30"/>
      <c r="U198" s="30"/>
      <c r="V198" s="30"/>
      <c r="W198" s="30"/>
      <c r="X198" s="30"/>
      <c r="Y198" s="30"/>
      <c r="Z198" s="30"/>
    </row>
    <row r="199" customFormat="false" ht="30" hidden="false" customHeight="true" outlineLevel="0" collapsed="false">
      <c r="A199" s="25"/>
      <c r="B199" s="26"/>
      <c r="C199" s="25"/>
      <c r="D199" s="25"/>
      <c r="E199" s="25"/>
      <c r="F199" s="25"/>
      <c r="G199" s="26"/>
      <c r="H199" s="25"/>
      <c r="I199" s="25"/>
      <c r="J199" s="25"/>
      <c r="K199" s="25"/>
      <c r="L199" s="25"/>
      <c r="M199" s="25"/>
      <c r="N199" s="25"/>
      <c r="O199" s="30"/>
      <c r="P199" s="30"/>
      <c r="Q199" s="30"/>
      <c r="R199" s="30"/>
      <c r="S199" s="30"/>
      <c r="T199" s="30"/>
      <c r="U199" s="30"/>
      <c r="V199" s="30"/>
      <c r="W199" s="30"/>
      <c r="X199" s="30"/>
      <c r="Y199" s="30"/>
      <c r="Z199" s="30"/>
    </row>
    <row r="200" customFormat="false" ht="30" hidden="false" customHeight="true" outlineLevel="0" collapsed="false">
      <c r="A200" s="25"/>
      <c r="B200" s="26"/>
      <c r="C200" s="25"/>
      <c r="D200" s="25"/>
      <c r="E200" s="25"/>
      <c r="F200" s="25"/>
      <c r="G200" s="26"/>
      <c r="H200" s="25"/>
      <c r="I200" s="25"/>
      <c r="J200" s="25"/>
      <c r="K200" s="25"/>
      <c r="L200" s="25"/>
      <c r="M200" s="25"/>
      <c r="N200" s="25"/>
      <c r="O200" s="30"/>
      <c r="P200" s="30"/>
      <c r="Q200" s="30"/>
      <c r="R200" s="30"/>
      <c r="S200" s="30"/>
      <c r="T200" s="30"/>
      <c r="U200" s="30"/>
      <c r="V200" s="30"/>
      <c r="W200" s="30"/>
      <c r="X200" s="30"/>
      <c r="Y200" s="30"/>
      <c r="Z200" s="30"/>
    </row>
    <row r="201" customFormat="false" ht="30" hidden="false" customHeight="true" outlineLevel="0" collapsed="false">
      <c r="A201" s="25"/>
      <c r="B201" s="26"/>
      <c r="C201" s="25"/>
      <c r="D201" s="25"/>
      <c r="E201" s="25"/>
      <c r="F201" s="25"/>
      <c r="G201" s="26"/>
      <c r="H201" s="25"/>
      <c r="I201" s="25"/>
      <c r="J201" s="25"/>
      <c r="K201" s="25"/>
      <c r="L201" s="25"/>
      <c r="M201" s="25"/>
      <c r="N201" s="25"/>
      <c r="O201" s="30"/>
      <c r="P201" s="30"/>
      <c r="Q201" s="30"/>
      <c r="R201" s="30"/>
      <c r="S201" s="30"/>
      <c r="T201" s="30"/>
      <c r="U201" s="30"/>
      <c r="V201" s="30"/>
      <c r="W201" s="30"/>
      <c r="X201" s="30"/>
      <c r="Y201" s="30"/>
      <c r="Z201" s="30"/>
    </row>
    <row r="202" customFormat="false" ht="30" hidden="false" customHeight="true" outlineLevel="0" collapsed="false">
      <c r="A202" s="25"/>
      <c r="B202" s="26"/>
      <c r="C202" s="25"/>
      <c r="D202" s="25"/>
      <c r="E202" s="25"/>
      <c r="F202" s="25"/>
      <c r="G202" s="26"/>
      <c r="H202" s="25"/>
      <c r="I202" s="25"/>
      <c r="J202" s="25"/>
      <c r="K202" s="25"/>
      <c r="L202" s="25"/>
      <c r="M202" s="25"/>
      <c r="N202" s="25"/>
      <c r="O202" s="30"/>
      <c r="P202" s="30"/>
      <c r="Q202" s="30"/>
      <c r="R202" s="30"/>
      <c r="S202" s="30"/>
      <c r="T202" s="30"/>
      <c r="U202" s="30"/>
      <c r="V202" s="30"/>
      <c r="W202" s="30"/>
      <c r="X202" s="30"/>
      <c r="Y202" s="30"/>
      <c r="Z202" s="30"/>
    </row>
    <row r="203" customFormat="false" ht="30" hidden="false" customHeight="true" outlineLevel="0" collapsed="false">
      <c r="A203" s="25"/>
      <c r="B203" s="26"/>
      <c r="C203" s="25"/>
      <c r="D203" s="25"/>
      <c r="E203" s="25"/>
      <c r="F203" s="25"/>
      <c r="G203" s="26"/>
      <c r="H203" s="25"/>
      <c r="I203" s="25"/>
      <c r="J203" s="25"/>
      <c r="K203" s="25"/>
      <c r="L203" s="25"/>
      <c r="M203" s="25"/>
      <c r="N203" s="25"/>
      <c r="O203" s="30"/>
      <c r="P203" s="30"/>
      <c r="Q203" s="30"/>
      <c r="R203" s="30"/>
      <c r="S203" s="30"/>
      <c r="T203" s="30"/>
      <c r="U203" s="30"/>
      <c r="V203" s="30"/>
      <c r="W203" s="30"/>
      <c r="X203" s="30"/>
      <c r="Y203" s="30"/>
      <c r="Z203" s="30"/>
    </row>
    <row r="204" customFormat="false" ht="30" hidden="false" customHeight="true" outlineLevel="0" collapsed="false">
      <c r="A204" s="25"/>
      <c r="B204" s="26"/>
      <c r="C204" s="25"/>
      <c r="D204" s="25"/>
      <c r="E204" s="25"/>
      <c r="F204" s="25"/>
      <c r="G204" s="26"/>
      <c r="H204" s="25"/>
      <c r="I204" s="25"/>
      <c r="J204" s="25"/>
      <c r="K204" s="25"/>
      <c r="L204" s="25"/>
      <c r="M204" s="25"/>
      <c r="N204" s="25"/>
      <c r="O204" s="30"/>
      <c r="P204" s="30"/>
      <c r="Q204" s="30"/>
      <c r="R204" s="30"/>
      <c r="S204" s="30"/>
      <c r="T204" s="30"/>
      <c r="U204" s="30"/>
      <c r="V204" s="30"/>
      <c r="W204" s="30"/>
      <c r="X204" s="30"/>
      <c r="Y204" s="30"/>
      <c r="Z204" s="30"/>
    </row>
    <row r="205" customFormat="false" ht="30" hidden="false" customHeight="true" outlineLevel="0" collapsed="false">
      <c r="A205" s="25"/>
      <c r="B205" s="26"/>
      <c r="C205" s="25"/>
      <c r="D205" s="25"/>
      <c r="E205" s="25"/>
      <c r="F205" s="25"/>
      <c r="G205" s="26"/>
      <c r="H205" s="25"/>
      <c r="I205" s="25"/>
      <c r="J205" s="25"/>
      <c r="K205" s="25"/>
      <c r="L205" s="25"/>
      <c r="M205" s="25"/>
      <c r="N205" s="25"/>
      <c r="O205" s="30"/>
      <c r="P205" s="30"/>
      <c r="Q205" s="30"/>
      <c r="R205" s="30"/>
      <c r="S205" s="30"/>
      <c r="T205" s="30"/>
      <c r="U205" s="30"/>
      <c r="V205" s="30"/>
      <c r="W205" s="30"/>
      <c r="X205" s="30"/>
      <c r="Y205" s="30"/>
      <c r="Z205" s="30"/>
    </row>
    <row r="206" customFormat="false" ht="30" hidden="false" customHeight="true" outlineLevel="0" collapsed="false">
      <c r="A206" s="25"/>
      <c r="B206" s="26"/>
      <c r="C206" s="25"/>
      <c r="D206" s="25"/>
      <c r="E206" s="25"/>
      <c r="F206" s="25"/>
      <c r="G206" s="26"/>
      <c r="H206" s="25"/>
      <c r="I206" s="25"/>
      <c r="J206" s="25"/>
      <c r="K206" s="25"/>
      <c r="L206" s="25"/>
      <c r="M206" s="25"/>
      <c r="N206" s="25"/>
      <c r="O206" s="30"/>
      <c r="P206" s="30"/>
      <c r="Q206" s="30"/>
      <c r="R206" s="30"/>
      <c r="S206" s="30"/>
      <c r="T206" s="30"/>
      <c r="U206" s="30"/>
      <c r="V206" s="30"/>
      <c r="W206" s="30"/>
      <c r="X206" s="30"/>
      <c r="Y206" s="30"/>
      <c r="Z206" s="30"/>
    </row>
    <row r="207" customFormat="false" ht="30" hidden="false" customHeight="true" outlineLevel="0" collapsed="false">
      <c r="A207" s="25"/>
      <c r="B207" s="26"/>
      <c r="C207" s="25"/>
      <c r="D207" s="25"/>
      <c r="E207" s="25"/>
      <c r="F207" s="25"/>
      <c r="G207" s="26"/>
      <c r="H207" s="25"/>
      <c r="I207" s="25"/>
      <c r="J207" s="25"/>
      <c r="K207" s="25"/>
      <c r="L207" s="25"/>
      <c r="M207" s="25"/>
      <c r="N207" s="25"/>
      <c r="O207" s="30"/>
      <c r="P207" s="30"/>
      <c r="Q207" s="30"/>
      <c r="R207" s="30"/>
      <c r="S207" s="30"/>
      <c r="T207" s="30"/>
      <c r="U207" s="30"/>
      <c r="V207" s="30"/>
      <c r="W207" s="30"/>
      <c r="X207" s="30"/>
      <c r="Y207" s="30"/>
      <c r="Z207" s="30"/>
    </row>
    <row r="208" customFormat="false" ht="30" hidden="false" customHeight="true" outlineLevel="0" collapsed="false">
      <c r="A208" s="25"/>
      <c r="B208" s="26"/>
      <c r="C208" s="25"/>
      <c r="D208" s="25"/>
      <c r="E208" s="25"/>
      <c r="F208" s="25"/>
      <c r="G208" s="26"/>
      <c r="H208" s="25"/>
      <c r="I208" s="25"/>
      <c r="J208" s="25"/>
      <c r="K208" s="25"/>
      <c r="L208" s="25"/>
      <c r="M208" s="25"/>
      <c r="N208" s="25"/>
      <c r="O208" s="30"/>
      <c r="P208" s="30"/>
      <c r="Q208" s="30"/>
      <c r="R208" s="30"/>
      <c r="S208" s="30"/>
      <c r="T208" s="30"/>
      <c r="U208" s="30"/>
      <c r="V208" s="30"/>
      <c r="W208" s="30"/>
      <c r="X208" s="30"/>
      <c r="Y208" s="30"/>
      <c r="Z208" s="30"/>
    </row>
    <row r="209" customFormat="false" ht="30" hidden="false" customHeight="true" outlineLevel="0" collapsed="false">
      <c r="A209" s="25"/>
      <c r="B209" s="26"/>
      <c r="C209" s="25"/>
      <c r="D209" s="25"/>
      <c r="E209" s="25"/>
      <c r="F209" s="25"/>
      <c r="G209" s="26"/>
      <c r="H209" s="25"/>
      <c r="I209" s="25"/>
      <c r="J209" s="25"/>
      <c r="K209" s="25"/>
      <c r="L209" s="25"/>
      <c r="M209" s="25"/>
      <c r="N209" s="25"/>
      <c r="O209" s="30"/>
      <c r="P209" s="30"/>
      <c r="Q209" s="30"/>
      <c r="R209" s="30"/>
      <c r="S209" s="30"/>
      <c r="T209" s="30"/>
      <c r="U209" s="30"/>
      <c r="V209" s="30"/>
      <c r="W209" s="30"/>
      <c r="X209" s="30"/>
      <c r="Y209" s="30"/>
      <c r="Z209" s="30"/>
    </row>
    <row r="210" customFormat="false" ht="30" hidden="false" customHeight="true" outlineLevel="0" collapsed="false">
      <c r="A210" s="25"/>
      <c r="B210" s="26"/>
      <c r="C210" s="25"/>
      <c r="D210" s="25"/>
      <c r="E210" s="25"/>
      <c r="F210" s="25"/>
      <c r="G210" s="26"/>
      <c r="H210" s="25"/>
      <c r="I210" s="25"/>
      <c r="J210" s="25"/>
      <c r="K210" s="25"/>
      <c r="L210" s="25"/>
      <c r="M210" s="25"/>
      <c r="N210" s="25"/>
      <c r="O210" s="30"/>
      <c r="P210" s="30"/>
      <c r="Q210" s="30"/>
      <c r="R210" s="30"/>
      <c r="S210" s="30"/>
      <c r="T210" s="30"/>
      <c r="U210" s="30"/>
      <c r="V210" s="30"/>
      <c r="W210" s="30"/>
      <c r="X210" s="30"/>
      <c r="Y210" s="30"/>
      <c r="Z210" s="30"/>
    </row>
    <row r="211" customFormat="false" ht="30" hidden="false" customHeight="true" outlineLevel="0" collapsed="false">
      <c r="A211" s="25"/>
      <c r="B211" s="26"/>
      <c r="C211" s="25"/>
      <c r="D211" s="25"/>
      <c r="E211" s="25"/>
      <c r="F211" s="25"/>
      <c r="G211" s="26"/>
      <c r="H211" s="25"/>
      <c r="I211" s="25"/>
      <c r="J211" s="25"/>
      <c r="K211" s="25"/>
      <c r="L211" s="25"/>
      <c r="M211" s="25"/>
      <c r="N211" s="25"/>
      <c r="O211" s="30"/>
      <c r="P211" s="30"/>
      <c r="Q211" s="30"/>
      <c r="R211" s="30"/>
      <c r="S211" s="30"/>
      <c r="T211" s="30"/>
      <c r="U211" s="30"/>
      <c r="V211" s="30"/>
      <c r="W211" s="30"/>
      <c r="X211" s="30"/>
      <c r="Y211" s="30"/>
      <c r="Z211" s="30"/>
    </row>
    <row r="212" customFormat="false" ht="30" hidden="false" customHeight="true" outlineLevel="0" collapsed="false">
      <c r="A212" s="25"/>
      <c r="B212" s="26"/>
      <c r="C212" s="25"/>
      <c r="D212" s="25"/>
      <c r="E212" s="25"/>
      <c r="F212" s="25"/>
      <c r="G212" s="26"/>
      <c r="H212" s="25"/>
      <c r="I212" s="25"/>
      <c r="J212" s="25"/>
      <c r="K212" s="25"/>
      <c r="L212" s="25"/>
      <c r="M212" s="25"/>
      <c r="N212" s="25"/>
      <c r="O212" s="30"/>
      <c r="P212" s="30"/>
      <c r="Q212" s="30"/>
      <c r="R212" s="30"/>
      <c r="S212" s="30"/>
      <c r="T212" s="30"/>
      <c r="U212" s="30"/>
      <c r="V212" s="30"/>
      <c r="W212" s="30"/>
      <c r="X212" s="30"/>
      <c r="Y212" s="30"/>
      <c r="Z212" s="30"/>
    </row>
    <row r="213" customFormat="false" ht="30" hidden="false" customHeight="true" outlineLevel="0" collapsed="false">
      <c r="A213" s="25"/>
      <c r="B213" s="26"/>
      <c r="C213" s="25"/>
      <c r="D213" s="25"/>
      <c r="E213" s="25"/>
      <c r="F213" s="25"/>
      <c r="G213" s="26"/>
      <c r="H213" s="25"/>
      <c r="I213" s="25"/>
      <c r="J213" s="25"/>
      <c r="K213" s="25"/>
      <c r="L213" s="25"/>
      <c r="M213" s="25"/>
      <c r="N213" s="25"/>
      <c r="O213" s="30"/>
      <c r="P213" s="30"/>
      <c r="Q213" s="30"/>
      <c r="R213" s="30"/>
      <c r="S213" s="30"/>
      <c r="T213" s="30"/>
      <c r="U213" s="30"/>
      <c r="V213" s="30"/>
      <c r="W213" s="30"/>
      <c r="X213" s="30"/>
      <c r="Y213" s="30"/>
      <c r="Z213" s="30"/>
    </row>
    <row r="214" customFormat="false" ht="30" hidden="false" customHeight="true" outlineLevel="0" collapsed="false">
      <c r="A214" s="25"/>
      <c r="B214" s="26"/>
      <c r="C214" s="25"/>
      <c r="D214" s="25"/>
      <c r="E214" s="25"/>
      <c r="F214" s="25"/>
      <c r="G214" s="26"/>
      <c r="H214" s="25"/>
      <c r="I214" s="25"/>
      <c r="J214" s="25"/>
      <c r="K214" s="25"/>
      <c r="L214" s="25"/>
      <c r="M214" s="25"/>
      <c r="N214" s="25"/>
      <c r="O214" s="30"/>
      <c r="P214" s="30"/>
      <c r="Q214" s="30"/>
      <c r="R214" s="30"/>
      <c r="S214" s="30"/>
      <c r="T214" s="30"/>
      <c r="U214" s="30"/>
      <c r="V214" s="30"/>
      <c r="W214" s="30"/>
      <c r="X214" s="30"/>
      <c r="Y214" s="30"/>
      <c r="Z214" s="30"/>
    </row>
    <row r="215" customFormat="false" ht="30" hidden="false" customHeight="true" outlineLevel="0" collapsed="false">
      <c r="A215" s="25"/>
      <c r="B215" s="26"/>
      <c r="C215" s="25"/>
      <c r="D215" s="25"/>
      <c r="E215" s="25"/>
      <c r="F215" s="25"/>
      <c r="G215" s="26"/>
      <c r="H215" s="25"/>
      <c r="I215" s="25"/>
      <c r="J215" s="25"/>
      <c r="K215" s="25"/>
      <c r="L215" s="25"/>
      <c r="M215" s="25"/>
      <c r="N215" s="25"/>
      <c r="O215" s="30"/>
      <c r="P215" s="30"/>
      <c r="Q215" s="30"/>
      <c r="R215" s="30"/>
      <c r="S215" s="30"/>
      <c r="T215" s="30"/>
      <c r="U215" s="30"/>
      <c r="V215" s="30"/>
      <c r="W215" s="30"/>
      <c r="X215" s="30"/>
      <c r="Y215" s="30"/>
      <c r="Z215" s="30"/>
    </row>
    <row r="216" customFormat="false" ht="30" hidden="false" customHeight="true" outlineLevel="0" collapsed="false">
      <c r="A216" s="25"/>
      <c r="B216" s="26"/>
      <c r="C216" s="25"/>
      <c r="D216" s="25"/>
      <c r="E216" s="25"/>
      <c r="F216" s="25"/>
      <c r="G216" s="26"/>
      <c r="H216" s="25"/>
      <c r="I216" s="25"/>
      <c r="J216" s="25"/>
      <c r="K216" s="25"/>
      <c r="L216" s="25"/>
      <c r="M216" s="25"/>
      <c r="N216" s="25"/>
      <c r="O216" s="30"/>
      <c r="P216" s="30"/>
      <c r="Q216" s="30"/>
      <c r="R216" s="30"/>
      <c r="S216" s="30"/>
      <c r="T216" s="30"/>
      <c r="U216" s="30"/>
      <c r="V216" s="30"/>
      <c r="W216" s="30"/>
      <c r="X216" s="30"/>
      <c r="Y216" s="30"/>
      <c r="Z216" s="30"/>
    </row>
    <row r="217" customFormat="false" ht="30" hidden="false" customHeight="true" outlineLevel="0" collapsed="false">
      <c r="A217" s="25"/>
      <c r="B217" s="26"/>
      <c r="C217" s="25"/>
      <c r="D217" s="25"/>
      <c r="E217" s="25"/>
      <c r="F217" s="25"/>
      <c r="G217" s="26"/>
      <c r="H217" s="25"/>
      <c r="I217" s="25"/>
      <c r="J217" s="25"/>
      <c r="K217" s="25"/>
      <c r="L217" s="25"/>
      <c r="M217" s="25"/>
      <c r="N217" s="25"/>
      <c r="O217" s="30"/>
      <c r="P217" s="30"/>
      <c r="Q217" s="30"/>
      <c r="R217" s="30"/>
      <c r="S217" s="30"/>
      <c r="T217" s="30"/>
      <c r="U217" s="30"/>
      <c r="V217" s="30"/>
      <c r="W217" s="30"/>
      <c r="X217" s="30"/>
      <c r="Y217" s="30"/>
      <c r="Z217" s="30"/>
    </row>
    <row r="218" customFormat="false" ht="30" hidden="false" customHeight="true" outlineLevel="0" collapsed="false">
      <c r="A218" s="25"/>
      <c r="B218" s="26"/>
      <c r="C218" s="25"/>
      <c r="D218" s="25"/>
      <c r="E218" s="25"/>
      <c r="F218" s="25"/>
      <c r="G218" s="26"/>
      <c r="H218" s="25"/>
      <c r="I218" s="25"/>
      <c r="J218" s="25"/>
      <c r="K218" s="25"/>
      <c r="L218" s="25"/>
      <c r="M218" s="25"/>
      <c r="N218" s="25"/>
      <c r="O218" s="30"/>
      <c r="P218" s="30"/>
      <c r="Q218" s="30"/>
      <c r="R218" s="30"/>
      <c r="S218" s="30"/>
      <c r="T218" s="30"/>
      <c r="U218" s="30"/>
      <c r="V218" s="30"/>
      <c r="W218" s="30"/>
      <c r="X218" s="30"/>
      <c r="Y218" s="30"/>
      <c r="Z218" s="30"/>
    </row>
    <row r="219" customFormat="false" ht="30" hidden="false" customHeight="true" outlineLevel="0" collapsed="false">
      <c r="A219" s="25"/>
      <c r="B219" s="26"/>
      <c r="C219" s="25"/>
      <c r="D219" s="25"/>
      <c r="E219" s="25"/>
      <c r="F219" s="25"/>
      <c r="G219" s="26"/>
      <c r="H219" s="25"/>
      <c r="I219" s="25"/>
      <c r="J219" s="25"/>
      <c r="K219" s="25"/>
      <c r="L219" s="25"/>
      <c r="M219" s="25"/>
      <c r="N219" s="25"/>
      <c r="O219" s="30"/>
      <c r="P219" s="30"/>
      <c r="Q219" s="30"/>
      <c r="R219" s="30"/>
      <c r="S219" s="30"/>
      <c r="T219" s="30"/>
      <c r="U219" s="30"/>
      <c r="V219" s="30"/>
      <c r="W219" s="30"/>
      <c r="X219" s="30"/>
      <c r="Y219" s="30"/>
      <c r="Z219" s="30"/>
    </row>
    <row r="220" customFormat="false" ht="30" hidden="false" customHeight="true" outlineLevel="0" collapsed="false">
      <c r="A220" s="25"/>
      <c r="B220" s="26"/>
      <c r="C220" s="25"/>
      <c r="D220" s="25"/>
      <c r="E220" s="25"/>
      <c r="F220" s="25"/>
      <c r="G220" s="26"/>
      <c r="H220" s="25"/>
      <c r="I220" s="25"/>
      <c r="J220" s="25"/>
      <c r="K220" s="25"/>
      <c r="L220" s="25"/>
      <c r="M220" s="25"/>
      <c r="N220" s="25"/>
      <c r="O220" s="30"/>
      <c r="P220" s="30"/>
      <c r="Q220" s="30"/>
      <c r="R220" s="30"/>
      <c r="S220" s="30"/>
      <c r="T220" s="30"/>
      <c r="U220" s="30"/>
      <c r="V220" s="30"/>
      <c r="W220" s="30"/>
      <c r="X220" s="30"/>
      <c r="Y220" s="30"/>
      <c r="Z220" s="30"/>
    </row>
    <row r="221" customFormat="false" ht="30" hidden="false" customHeight="true" outlineLevel="0" collapsed="false">
      <c r="A221" s="25"/>
      <c r="B221" s="26"/>
      <c r="C221" s="25"/>
      <c r="D221" s="25"/>
      <c r="E221" s="25"/>
      <c r="F221" s="25"/>
      <c r="G221" s="26"/>
      <c r="H221" s="25"/>
      <c r="I221" s="25"/>
      <c r="J221" s="25"/>
      <c r="K221" s="25"/>
      <c r="L221" s="25"/>
      <c r="M221" s="25"/>
      <c r="N221" s="25"/>
      <c r="O221" s="30"/>
      <c r="P221" s="30"/>
      <c r="Q221" s="30"/>
      <c r="R221" s="30"/>
      <c r="S221" s="30"/>
      <c r="T221" s="30"/>
      <c r="U221" s="30"/>
      <c r="V221" s="30"/>
      <c r="W221" s="30"/>
      <c r="X221" s="30"/>
      <c r="Y221" s="30"/>
      <c r="Z221" s="30"/>
    </row>
    <row r="222" customFormat="false" ht="30" hidden="false" customHeight="true" outlineLevel="0" collapsed="false">
      <c r="A222" s="25"/>
      <c r="B222" s="26"/>
      <c r="C222" s="25"/>
      <c r="D222" s="25"/>
      <c r="E222" s="25"/>
      <c r="F222" s="25"/>
      <c r="G222" s="26"/>
      <c r="H222" s="25"/>
      <c r="I222" s="25"/>
      <c r="J222" s="25"/>
      <c r="K222" s="25"/>
      <c r="L222" s="25"/>
      <c r="M222" s="25"/>
      <c r="N222" s="25"/>
      <c r="O222" s="30"/>
      <c r="P222" s="30"/>
      <c r="Q222" s="30"/>
      <c r="R222" s="30"/>
      <c r="S222" s="30"/>
      <c r="T222" s="30"/>
      <c r="U222" s="30"/>
      <c r="V222" s="30"/>
      <c r="W222" s="30"/>
      <c r="X222" s="30"/>
      <c r="Y222" s="30"/>
      <c r="Z222" s="30"/>
    </row>
    <row r="223" customFormat="false" ht="30" hidden="false" customHeight="true" outlineLevel="0" collapsed="false">
      <c r="A223" s="25"/>
      <c r="B223" s="26"/>
      <c r="C223" s="25"/>
      <c r="D223" s="25"/>
      <c r="E223" s="25"/>
      <c r="F223" s="25"/>
      <c r="G223" s="26"/>
      <c r="H223" s="25"/>
      <c r="I223" s="25"/>
      <c r="J223" s="25"/>
      <c r="K223" s="25"/>
      <c r="L223" s="25"/>
      <c r="M223" s="25"/>
      <c r="N223" s="25"/>
      <c r="O223" s="30"/>
      <c r="P223" s="30"/>
      <c r="Q223" s="30"/>
      <c r="R223" s="30"/>
      <c r="S223" s="30"/>
      <c r="T223" s="30"/>
      <c r="U223" s="30"/>
      <c r="V223" s="30"/>
      <c r="W223" s="30"/>
      <c r="X223" s="30"/>
      <c r="Y223" s="30"/>
      <c r="Z223" s="30"/>
    </row>
    <row r="224" customFormat="false" ht="30" hidden="false" customHeight="true" outlineLevel="0" collapsed="false">
      <c r="A224" s="25"/>
      <c r="B224" s="26"/>
      <c r="C224" s="25"/>
      <c r="D224" s="25"/>
      <c r="E224" s="25"/>
      <c r="F224" s="25"/>
      <c r="G224" s="26"/>
      <c r="H224" s="25"/>
      <c r="I224" s="25"/>
      <c r="J224" s="25"/>
      <c r="K224" s="25"/>
      <c r="L224" s="25"/>
      <c r="M224" s="25"/>
      <c r="N224" s="25"/>
      <c r="O224" s="30"/>
      <c r="P224" s="30"/>
      <c r="Q224" s="30"/>
      <c r="R224" s="30"/>
      <c r="S224" s="30"/>
      <c r="T224" s="30"/>
      <c r="U224" s="30"/>
      <c r="V224" s="30"/>
      <c r="W224" s="30"/>
      <c r="X224" s="30"/>
      <c r="Y224" s="30"/>
      <c r="Z224" s="30"/>
    </row>
    <row r="225" customFormat="false" ht="30" hidden="false" customHeight="true" outlineLevel="0" collapsed="false">
      <c r="A225" s="25"/>
      <c r="B225" s="26"/>
      <c r="C225" s="25"/>
      <c r="D225" s="25"/>
      <c r="E225" s="25"/>
      <c r="F225" s="25"/>
      <c r="G225" s="26"/>
      <c r="H225" s="25"/>
      <c r="I225" s="25"/>
      <c r="J225" s="25"/>
      <c r="K225" s="25"/>
      <c r="L225" s="25"/>
      <c r="M225" s="25"/>
      <c r="N225" s="25"/>
      <c r="O225" s="30"/>
      <c r="P225" s="30"/>
      <c r="Q225" s="30"/>
      <c r="R225" s="30"/>
      <c r="S225" s="30"/>
      <c r="T225" s="30"/>
      <c r="U225" s="30"/>
      <c r="V225" s="30"/>
      <c r="W225" s="30"/>
      <c r="X225" s="30"/>
      <c r="Y225" s="30"/>
      <c r="Z225" s="30"/>
    </row>
    <row r="226" customFormat="false" ht="30" hidden="false" customHeight="true" outlineLevel="0" collapsed="false">
      <c r="A226" s="25"/>
      <c r="B226" s="26"/>
      <c r="C226" s="25"/>
      <c r="D226" s="25"/>
      <c r="E226" s="25"/>
      <c r="F226" s="25"/>
      <c r="G226" s="26"/>
      <c r="H226" s="25"/>
      <c r="I226" s="25"/>
      <c r="J226" s="25"/>
      <c r="K226" s="25"/>
      <c r="L226" s="25"/>
      <c r="M226" s="25"/>
      <c r="N226" s="25"/>
      <c r="O226" s="30"/>
      <c r="P226" s="30"/>
      <c r="Q226" s="30"/>
      <c r="R226" s="30"/>
      <c r="S226" s="30"/>
      <c r="T226" s="30"/>
      <c r="U226" s="30"/>
      <c r="V226" s="30"/>
      <c r="W226" s="30"/>
      <c r="X226" s="30"/>
      <c r="Y226" s="30"/>
      <c r="Z226" s="30"/>
    </row>
    <row r="227" customFormat="false" ht="30" hidden="false" customHeight="true" outlineLevel="0" collapsed="false">
      <c r="A227" s="25"/>
      <c r="B227" s="26"/>
      <c r="C227" s="25"/>
      <c r="D227" s="25"/>
      <c r="E227" s="25"/>
      <c r="F227" s="25"/>
      <c r="G227" s="26"/>
      <c r="H227" s="25"/>
      <c r="I227" s="25"/>
      <c r="J227" s="25"/>
      <c r="K227" s="25"/>
      <c r="L227" s="25"/>
      <c r="M227" s="25"/>
      <c r="N227" s="25"/>
      <c r="O227" s="30"/>
      <c r="P227" s="30"/>
      <c r="Q227" s="30"/>
      <c r="R227" s="30"/>
      <c r="S227" s="30"/>
      <c r="T227" s="30"/>
      <c r="U227" s="30"/>
      <c r="V227" s="30"/>
      <c r="W227" s="30"/>
      <c r="X227" s="30"/>
      <c r="Y227" s="30"/>
      <c r="Z227" s="30"/>
    </row>
    <row r="228" customFormat="false" ht="30" hidden="false" customHeight="true" outlineLevel="0" collapsed="false">
      <c r="A228" s="25"/>
      <c r="B228" s="26"/>
      <c r="C228" s="25"/>
      <c r="D228" s="25"/>
      <c r="E228" s="25"/>
      <c r="F228" s="25"/>
      <c r="G228" s="26"/>
      <c r="H228" s="25"/>
      <c r="I228" s="25"/>
      <c r="J228" s="25"/>
      <c r="K228" s="25"/>
      <c r="L228" s="25"/>
      <c r="M228" s="25"/>
      <c r="N228" s="25"/>
      <c r="O228" s="30"/>
      <c r="P228" s="30"/>
      <c r="Q228" s="30"/>
      <c r="R228" s="30"/>
      <c r="S228" s="30"/>
      <c r="T228" s="30"/>
      <c r="U228" s="30"/>
      <c r="V228" s="30"/>
      <c r="W228" s="30"/>
      <c r="X228" s="30"/>
      <c r="Y228" s="30"/>
      <c r="Z228" s="30"/>
    </row>
    <row r="229" customFormat="false" ht="30" hidden="false" customHeight="true" outlineLevel="0" collapsed="false">
      <c r="A229" s="25"/>
      <c r="B229" s="26"/>
      <c r="C229" s="25"/>
      <c r="D229" s="25"/>
      <c r="E229" s="25"/>
      <c r="F229" s="25"/>
      <c r="G229" s="26"/>
      <c r="H229" s="25"/>
      <c r="I229" s="25"/>
      <c r="J229" s="25"/>
      <c r="K229" s="25"/>
      <c r="L229" s="25"/>
      <c r="M229" s="25"/>
      <c r="N229" s="25"/>
      <c r="O229" s="30"/>
      <c r="P229" s="30"/>
      <c r="Q229" s="30"/>
      <c r="R229" s="30"/>
      <c r="S229" s="30"/>
      <c r="T229" s="30"/>
      <c r="U229" s="30"/>
      <c r="V229" s="30"/>
      <c r="W229" s="30"/>
      <c r="X229" s="30"/>
      <c r="Y229" s="30"/>
      <c r="Z229" s="30"/>
    </row>
    <row r="230" customFormat="false" ht="30" hidden="false" customHeight="true" outlineLevel="0" collapsed="false">
      <c r="A230" s="25"/>
      <c r="B230" s="26"/>
      <c r="C230" s="25"/>
      <c r="D230" s="25"/>
      <c r="E230" s="25"/>
      <c r="F230" s="25"/>
      <c r="G230" s="26"/>
      <c r="H230" s="25"/>
      <c r="I230" s="25"/>
      <c r="J230" s="25"/>
      <c r="K230" s="25"/>
      <c r="L230" s="25"/>
      <c r="M230" s="25"/>
      <c r="N230" s="25"/>
      <c r="O230" s="30"/>
      <c r="P230" s="30"/>
      <c r="Q230" s="30"/>
      <c r="R230" s="30"/>
      <c r="S230" s="30"/>
      <c r="T230" s="30"/>
      <c r="U230" s="30"/>
      <c r="V230" s="30"/>
      <c r="W230" s="30"/>
      <c r="X230" s="30"/>
      <c r="Y230" s="30"/>
      <c r="Z230" s="30"/>
    </row>
    <row r="231" customFormat="false" ht="30" hidden="false" customHeight="true" outlineLevel="0" collapsed="false">
      <c r="A231" s="25"/>
      <c r="B231" s="26"/>
      <c r="C231" s="25"/>
      <c r="D231" s="25"/>
      <c r="E231" s="25"/>
      <c r="F231" s="25"/>
      <c r="G231" s="26"/>
      <c r="H231" s="25"/>
      <c r="I231" s="25"/>
      <c r="J231" s="25"/>
      <c r="K231" s="25"/>
      <c r="L231" s="25"/>
      <c r="M231" s="25"/>
      <c r="N231" s="25"/>
      <c r="O231" s="30"/>
      <c r="P231" s="30"/>
      <c r="Q231" s="30"/>
      <c r="R231" s="30"/>
      <c r="S231" s="30"/>
      <c r="T231" s="30"/>
      <c r="U231" s="30"/>
      <c r="V231" s="30"/>
      <c r="W231" s="30"/>
      <c r="X231" s="30"/>
      <c r="Y231" s="30"/>
      <c r="Z231" s="30"/>
    </row>
    <row r="232" customFormat="false" ht="30" hidden="false" customHeight="true" outlineLevel="0" collapsed="false">
      <c r="A232" s="25"/>
      <c r="B232" s="26"/>
      <c r="C232" s="25"/>
      <c r="D232" s="25"/>
      <c r="E232" s="25"/>
      <c r="F232" s="25"/>
      <c r="G232" s="26"/>
      <c r="H232" s="25"/>
      <c r="I232" s="25"/>
      <c r="J232" s="25"/>
      <c r="K232" s="25"/>
      <c r="L232" s="25"/>
      <c r="M232" s="25"/>
      <c r="N232" s="25"/>
      <c r="O232" s="30"/>
      <c r="P232" s="30"/>
      <c r="Q232" s="30"/>
      <c r="R232" s="30"/>
      <c r="S232" s="30"/>
      <c r="T232" s="30"/>
      <c r="U232" s="30"/>
      <c r="V232" s="30"/>
      <c r="W232" s="30"/>
      <c r="X232" s="30"/>
      <c r="Y232" s="30"/>
      <c r="Z232" s="30"/>
    </row>
    <row r="233" customFormat="false" ht="30" hidden="false" customHeight="true" outlineLevel="0" collapsed="false">
      <c r="A233" s="25"/>
      <c r="B233" s="26"/>
      <c r="C233" s="25"/>
      <c r="D233" s="25"/>
      <c r="E233" s="25"/>
      <c r="F233" s="25"/>
      <c r="G233" s="26"/>
      <c r="H233" s="25"/>
      <c r="I233" s="25"/>
      <c r="J233" s="25"/>
      <c r="K233" s="25"/>
      <c r="L233" s="25"/>
      <c r="M233" s="25"/>
      <c r="N233" s="25"/>
      <c r="O233" s="30"/>
      <c r="P233" s="30"/>
      <c r="Q233" s="30"/>
      <c r="R233" s="30"/>
      <c r="S233" s="30"/>
      <c r="T233" s="30"/>
      <c r="U233" s="30"/>
      <c r="V233" s="30"/>
      <c r="W233" s="30"/>
      <c r="X233" s="30"/>
      <c r="Y233" s="30"/>
      <c r="Z233" s="30"/>
    </row>
    <row r="234" customFormat="false" ht="30" hidden="false" customHeight="true" outlineLevel="0" collapsed="false">
      <c r="A234" s="25"/>
      <c r="B234" s="26"/>
      <c r="C234" s="25"/>
      <c r="D234" s="25"/>
      <c r="E234" s="25"/>
      <c r="F234" s="25"/>
      <c r="G234" s="26"/>
      <c r="H234" s="25"/>
      <c r="I234" s="25"/>
      <c r="J234" s="25"/>
      <c r="K234" s="25"/>
      <c r="L234" s="25"/>
      <c r="M234" s="25"/>
      <c r="N234" s="25"/>
      <c r="O234" s="30"/>
      <c r="P234" s="30"/>
      <c r="Q234" s="30"/>
      <c r="R234" s="30"/>
      <c r="S234" s="30"/>
      <c r="T234" s="30"/>
      <c r="U234" s="30"/>
      <c r="V234" s="30"/>
      <c r="W234" s="30"/>
      <c r="X234" s="30"/>
      <c r="Y234" s="30"/>
      <c r="Z234" s="30"/>
    </row>
    <row r="235" customFormat="false" ht="30" hidden="false" customHeight="true" outlineLevel="0" collapsed="false">
      <c r="A235" s="25"/>
      <c r="B235" s="26"/>
      <c r="C235" s="25"/>
      <c r="D235" s="25"/>
      <c r="E235" s="25"/>
      <c r="F235" s="25"/>
      <c r="G235" s="26"/>
      <c r="H235" s="25"/>
      <c r="I235" s="25"/>
      <c r="J235" s="25"/>
      <c r="K235" s="25"/>
      <c r="L235" s="25"/>
      <c r="M235" s="25"/>
      <c r="N235" s="25"/>
      <c r="O235" s="30"/>
      <c r="P235" s="30"/>
      <c r="Q235" s="30"/>
      <c r="R235" s="30"/>
      <c r="S235" s="30"/>
      <c r="T235" s="30"/>
      <c r="U235" s="30"/>
      <c r="V235" s="30"/>
      <c r="W235" s="30"/>
      <c r="X235" s="30"/>
      <c r="Y235" s="30"/>
      <c r="Z235" s="30"/>
    </row>
    <row r="236" customFormat="false" ht="30" hidden="false" customHeight="true" outlineLevel="0" collapsed="false">
      <c r="A236" s="25"/>
      <c r="B236" s="26"/>
      <c r="C236" s="25"/>
      <c r="D236" s="25"/>
      <c r="E236" s="25"/>
      <c r="F236" s="25"/>
      <c r="G236" s="26"/>
      <c r="H236" s="25"/>
      <c r="I236" s="25"/>
      <c r="J236" s="25"/>
      <c r="K236" s="25"/>
      <c r="L236" s="25"/>
      <c r="M236" s="25"/>
      <c r="N236" s="25"/>
      <c r="O236" s="30"/>
      <c r="P236" s="30"/>
      <c r="Q236" s="30"/>
      <c r="R236" s="30"/>
      <c r="S236" s="30"/>
      <c r="T236" s="30"/>
      <c r="U236" s="30"/>
      <c r="V236" s="30"/>
      <c r="W236" s="30"/>
      <c r="X236" s="30"/>
      <c r="Y236" s="30"/>
      <c r="Z236" s="30"/>
    </row>
    <row r="237" customFormat="false" ht="30" hidden="false" customHeight="true" outlineLevel="0" collapsed="false">
      <c r="A237" s="25"/>
      <c r="B237" s="26"/>
      <c r="C237" s="25"/>
      <c r="D237" s="25"/>
      <c r="E237" s="25"/>
      <c r="F237" s="25"/>
      <c r="G237" s="26"/>
      <c r="H237" s="25"/>
      <c r="I237" s="25"/>
      <c r="J237" s="25"/>
      <c r="K237" s="25"/>
      <c r="L237" s="25"/>
      <c r="M237" s="25"/>
      <c r="N237" s="25"/>
      <c r="O237" s="30"/>
      <c r="P237" s="30"/>
      <c r="Q237" s="30"/>
      <c r="R237" s="30"/>
      <c r="S237" s="30"/>
      <c r="T237" s="30"/>
      <c r="U237" s="30"/>
      <c r="V237" s="30"/>
      <c r="W237" s="30"/>
      <c r="X237" s="30"/>
      <c r="Y237" s="30"/>
      <c r="Z237" s="30"/>
    </row>
    <row r="238" customFormat="false" ht="30" hidden="false" customHeight="true" outlineLevel="0" collapsed="false">
      <c r="A238" s="25"/>
      <c r="B238" s="26"/>
      <c r="C238" s="25"/>
      <c r="D238" s="25"/>
      <c r="E238" s="25"/>
      <c r="F238" s="25"/>
      <c r="G238" s="26"/>
      <c r="H238" s="25"/>
      <c r="I238" s="25"/>
      <c r="J238" s="25"/>
      <c r="K238" s="25"/>
      <c r="L238" s="25"/>
      <c r="M238" s="25"/>
      <c r="N238" s="25"/>
      <c r="O238" s="30"/>
      <c r="P238" s="30"/>
      <c r="Q238" s="30"/>
      <c r="R238" s="30"/>
      <c r="S238" s="30"/>
      <c r="T238" s="30"/>
      <c r="U238" s="30"/>
      <c r="V238" s="30"/>
      <c r="W238" s="30"/>
      <c r="X238" s="30"/>
      <c r="Y238" s="30"/>
      <c r="Z238" s="30"/>
    </row>
    <row r="239" customFormat="false" ht="30" hidden="false" customHeight="true" outlineLevel="0" collapsed="false">
      <c r="A239" s="25"/>
      <c r="B239" s="26"/>
      <c r="C239" s="25"/>
      <c r="D239" s="25"/>
      <c r="E239" s="25"/>
      <c r="F239" s="25"/>
      <c r="G239" s="26"/>
      <c r="H239" s="25"/>
      <c r="I239" s="25"/>
      <c r="J239" s="25"/>
      <c r="K239" s="25"/>
      <c r="L239" s="25"/>
      <c r="M239" s="25"/>
      <c r="N239" s="25"/>
      <c r="O239" s="30"/>
      <c r="P239" s="30"/>
      <c r="Q239" s="30"/>
      <c r="R239" s="30"/>
      <c r="S239" s="30"/>
      <c r="T239" s="30"/>
      <c r="U239" s="30"/>
      <c r="V239" s="30"/>
      <c r="W239" s="30"/>
      <c r="X239" s="30"/>
      <c r="Y239" s="30"/>
      <c r="Z239" s="30"/>
    </row>
    <row r="240" customFormat="false" ht="30" hidden="false" customHeight="true" outlineLevel="0" collapsed="false">
      <c r="A240" s="25"/>
      <c r="B240" s="26"/>
      <c r="C240" s="25"/>
      <c r="D240" s="25"/>
      <c r="E240" s="25"/>
      <c r="F240" s="25"/>
      <c r="G240" s="26"/>
      <c r="H240" s="25"/>
      <c r="I240" s="25"/>
      <c r="J240" s="25"/>
      <c r="K240" s="25"/>
      <c r="L240" s="25"/>
      <c r="M240" s="25"/>
      <c r="N240" s="25"/>
      <c r="O240" s="30"/>
      <c r="P240" s="30"/>
      <c r="Q240" s="30"/>
      <c r="R240" s="30"/>
      <c r="S240" s="30"/>
      <c r="T240" s="30"/>
      <c r="U240" s="30"/>
      <c r="V240" s="30"/>
      <c r="W240" s="30"/>
      <c r="X240" s="30"/>
      <c r="Y240" s="30"/>
      <c r="Z240" s="30"/>
    </row>
    <row r="241" customFormat="false" ht="30" hidden="false" customHeight="true" outlineLevel="0" collapsed="false">
      <c r="A241" s="25"/>
      <c r="B241" s="26"/>
      <c r="C241" s="25"/>
      <c r="D241" s="25"/>
      <c r="E241" s="25"/>
      <c r="F241" s="25"/>
      <c r="G241" s="26"/>
      <c r="H241" s="25"/>
      <c r="I241" s="25"/>
      <c r="J241" s="25"/>
      <c r="K241" s="25"/>
      <c r="L241" s="25"/>
      <c r="M241" s="25"/>
      <c r="N241" s="25"/>
      <c r="O241" s="30"/>
      <c r="P241" s="30"/>
      <c r="Q241" s="30"/>
      <c r="R241" s="30"/>
      <c r="S241" s="30"/>
      <c r="T241" s="30"/>
      <c r="U241" s="30"/>
      <c r="V241" s="30"/>
      <c r="W241" s="30"/>
      <c r="X241" s="30"/>
      <c r="Y241" s="30"/>
      <c r="Z241" s="30"/>
    </row>
    <row r="242" customFormat="false" ht="30" hidden="false" customHeight="true" outlineLevel="0" collapsed="false">
      <c r="A242" s="25"/>
      <c r="B242" s="26"/>
      <c r="C242" s="25"/>
      <c r="D242" s="25"/>
      <c r="E242" s="25"/>
      <c r="F242" s="25"/>
      <c r="G242" s="26"/>
      <c r="H242" s="25"/>
      <c r="I242" s="25"/>
      <c r="J242" s="25"/>
      <c r="K242" s="25"/>
      <c r="L242" s="25"/>
      <c r="M242" s="25"/>
      <c r="N242" s="25"/>
      <c r="O242" s="30"/>
      <c r="P242" s="30"/>
      <c r="Q242" s="30"/>
      <c r="R242" s="30"/>
      <c r="S242" s="30"/>
      <c r="T242" s="30"/>
      <c r="U242" s="30"/>
      <c r="V242" s="30"/>
      <c r="W242" s="30"/>
      <c r="X242" s="30"/>
      <c r="Y242" s="30"/>
      <c r="Z242" s="30"/>
    </row>
    <row r="243" customFormat="false" ht="15.75" hidden="false" customHeight="true" outlineLevel="0" collapsed="false">
      <c r="G243" s="54"/>
    </row>
    <row r="244" customFormat="false" ht="15.75" hidden="false" customHeight="true" outlineLevel="0" collapsed="false">
      <c r="G244" s="54"/>
    </row>
    <row r="245" customFormat="false" ht="15.75" hidden="false" customHeight="true" outlineLevel="0" collapsed="false">
      <c r="G245" s="54"/>
    </row>
    <row r="246" customFormat="false" ht="15.75" hidden="false" customHeight="true" outlineLevel="0" collapsed="false">
      <c r="G246" s="54"/>
    </row>
    <row r="247" customFormat="false" ht="15.75" hidden="false" customHeight="true" outlineLevel="0" collapsed="false">
      <c r="G247" s="54"/>
    </row>
    <row r="248" customFormat="false" ht="15.75" hidden="false" customHeight="true" outlineLevel="0" collapsed="false">
      <c r="G248" s="54"/>
    </row>
    <row r="249" customFormat="false" ht="15.75" hidden="false" customHeight="true" outlineLevel="0" collapsed="false">
      <c r="G249" s="54"/>
    </row>
    <row r="250" customFormat="false" ht="15.75" hidden="false" customHeight="true" outlineLevel="0" collapsed="false">
      <c r="G250" s="54"/>
    </row>
    <row r="251" customFormat="false" ht="15.75" hidden="false" customHeight="true" outlineLevel="0" collapsed="false">
      <c r="G251" s="54"/>
    </row>
    <row r="252" customFormat="false" ht="15.75" hidden="false" customHeight="true" outlineLevel="0" collapsed="false">
      <c r="G252" s="54"/>
    </row>
    <row r="253" customFormat="false" ht="15.75" hidden="false" customHeight="true" outlineLevel="0" collapsed="false">
      <c r="G253" s="54"/>
    </row>
    <row r="254" customFormat="false" ht="15.75" hidden="false" customHeight="true" outlineLevel="0" collapsed="false">
      <c r="G254" s="54"/>
    </row>
    <row r="255" customFormat="false" ht="15.75" hidden="false" customHeight="true" outlineLevel="0" collapsed="false">
      <c r="G255" s="54"/>
    </row>
    <row r="256" customFormat="false" ht="15.75" hidden="false" customHeight="true" outlineLevel="0" collapsed="false">
      <c r="G256" s="54"/>
    </row>
    <row r="257" customFormat="false" ht="15.75" hidden="false" customHeight="true" outlineLevel="0" collapsed="false">
      <c r="G257" s="54"/>
    </row>
    <row r="258" customFormat="false" ht="15.75" hidden="false" customHeight="true" outlineLevel="0" collapsed="false">
      <c r="G258" s="54"/>
    </row>
    <row r="259" customFormat="false" ht="15.75" hidden="false" customHeight="true" outlineLevel="0" collapsed="false">
      <c r="G259" s="54"/>
    </row>
    <row r="260" customFormat="false" ht="15.75" hidden="false" customHeight="true" outlineLevel="0" collapsed="false">
      <c r="G260" s="54"/>
    </row>
    <row r="261" customFormat="false" ht="15.75" hidden="false" customHeight="true" outlineLevel="0" collapsed="false">
      <c r="G261" s="54"/>
    </row>
    <row r="262" customFormat="false" ht="15.75" hidden="false" customHeight="true" outlineLevel="0" collapsed="false">
      <c r="G262" s="54"/>
    </row>
    <row r="263" customFormat="false" ht="15.75" hidden="false" customHeight="true" outlineLevel="0" collapsed="false">
      <c r="G263" s="54"/>
    </row>
    <row r="264" customFormat="false" ht="15.75" hidden="false" customHeight="true" outlineLevel="0" collapsed="false">
      <c r="G264" s="54"/>
    </row>
    <row r="265" customFormat="false" ht="15.75" hidden="false" customHeight="true" outlineLevel="0" collapsed="false">
      <c r="G265" s="54"/>
    </row>
    <row r="266" customFormat="false" ht="15.75" hidden="false" customHeight="true" outlineLevel="0" collapsed="false">
      <c r="G266" s="54"/>
    </row>
    <row r="267" customFormat="false" ht="15.75" hidden="false" customHeight="true" outlineLevel="0" collapsed="false">
      <c r="G267" s="54"/>
    </row>
    <row r="268" customFormat="false" ht="15.75" hidden="false" customHeight="true" outlineLevel="0" collapsed="false">
      <c r="G268" s="54"/>
    </row>
    <row r="269" customFormat="false" ht="15.75" hidden="false" customHeight="true" outlineLevel="0" collapsed="false">
      <c r="G269" s="54"/>
    </row>
    <row r="270" customFormat="false" ht="15.75" hidden="false" customHeight="true" outlineLevel="0" collapsed="false">
      <c r="G270" s="54"/>
    </row>
    <row r="271" customFormat="false" ht="15.75" hidden="false" customHeight="true" outlineLevel="0" collapsed="false">
      <c r="G271" s="54"/>
    </row>
    <row r="272" customFormat="false" ht="15.75" hidden="false" customHeight="true" outlineLevel="0" collapsed="false">
      <c r="G272" s="54"/>
    </row>
    <row r="273" customFormat="false" ht="15.75" hidden="false" customHeight="true" outlineLevel="0" collapsed="false">
      <c r="G273" s="54"/>
    </row>
    <row r="274" customFormat="false" ht="15.75" hidden="false" customHeight="true" outlineLevel="0" collapsed="false">
      <c r="G274" s="54"/>
    </row>
    <row r="275" customFormat="false" ht="15.75" hidden="false" customHeight="true" outlineLevel="0" collapsed="false">
      <c r="G275" s="54"/>
    </row>
    <row r="276" customFormat="false" ht="15.75" hidden="false" customHeight="true" outlineLevel="0" collapsed="false">
      <c r="G276" s="54"/>
    </row>
    <row r="277" customFormat="false" ht="15.75" hidden="false" customHeight="true" outlineLevel="0" collapsed="false">
      <c r="G277" s="54"/>
    </row>
    <row r="278" customFormat="false" ht="15.75" hidden="false" customHeight="true" outlineLevel="0" collapsed="false">
      <c r="G278" s="54"/>
    </row>
    <row r="279" customFormat="false" ht="15.75" hidden="false" customHeight="true" outlineLevel="0" collapsed="false">
      <c r="G279" s="54"/>
    </row>
    <row r="280" customFormat="false" ht="15.75" hidden="false" customHeight="true" outlineLevel="0" collapsed="false">
      <c r="G280" s="54"/>
    </row>
    <row r="281" customFormat="false" ht="15.75" hidden="false" customHeight="true" outlineLevel="0" collapsed="false">
      <c r="G281" s="54"/>
    </row>
    <row r="282" customFormat="false" ht="15.75" hidden="false" customHeight="true" outlineLevel="0" collapsed="false">
      <c r="G282" s="54"/>
    </row>
    <row r="283" customFormat="false" ht="15.75" hidden="false" customHeight="true" outlineLevel="0" collapsed="false">
      <c r="G283" s="54"/>
    </row>
    <row r="284" customFormat="false" ht="15.75" hidden="false" customHeight="true" outlineLevel="0" collapsed="false">
      <c r="G284" s="54"/>
    </row>
    <row r="285" customFormat="false" ht="15.75" hidden="false" customHeight="true" outlineLevel="0" collapsed="false">
      <c r="G285" s="54"/>
    </row>
    <row r="286" customFormat="false" ht="15.75" hidden="false" customHeight="true" outlineLevel="0" collapsed="false">
      <c r="G286" s="54"/>
    </row>
    <row r="287" customFormat="false" ht="15.75" hidden="false" customHeight="true" outlineLevel="0" collapsed="false">
      <c r="G287" s="54"/>
    </row>
    <row r="288" customFormat="false" ht="15.75" hidden="false" customHeight="true" outlineLevel="0" collapsed="false">
      <c r="G288" s="54"/>
    </row>
    <row r="289" customFormat="false" ht="15.75" hidden="false" customHeight="true" outlineLevel="0" collapsed="false">
      <c r="G289" s="54"/>
    </row>
    <row r="290" customFormat="false" ht="15.75" hidden="false" customHeight="true" outlineLevel="0" collapsed="false">
      <c r="G290" s="54"/>
    </row>
    <row r="291" customFormat="false" ht="15.75" hidden="false" customHeight="true" outlineLevel="0" collapsed="false">
      <c r="G291" s="54"/>
    </row>
    <row r="292" customFormat="false" ht="15.75" hidden="false" customHeight="true" outlineLevel="0" collapsed="false">
      <c r="G292" s="54"/>
    </row>
    <row r="293" customFormat="false" ht="15.75" hidden="false" customHeight="true" outlineLevel="0" collapsed="false">
      <c r="G293" s="54"/>
    </row>
    <row r="294" customFormat="false" ht="15.75" hidden="false" customHeight="true" outlineLevel="0" collapsed="false">
      <c r="G294" s="54"/>
    </row>
    <row r="295" customFormat="false" ht="15.75" hidden="false" customHeight="true" outlineLevel="0" collapsed="false">
      <c r="G295" s="54"/>
    </row>
    <row r="296" customFormat="false" ht="15.75" hidden="false" customHeight="true" outlineLevel="0" collapsed="false">
      <c r="G296" s="54"/>
    </row>
    <row r="297" customFormat="false" ht="15.75" hidden="false" customHeight="true" outlineLevel="0" collapsed="false">
      <c r="G297" s="54"/>
    </row>
    <row r="298" customFormat="false" ht="15.75" hidden="false" customHeight="true" outlineLevel="0" collapsed="false">
      <c r="G298" s="54"/>
    </row>
    <row r="299" customFormat="false" ht="15.75" hidden="false" customHeight="true" outlineLevel="0" collapsed="false">
      <c r="G299" s="54"/>
    </row>
    <row r="300" customFormat="false" ht="15.75" hidden="false" customHeight="true" outlineLevel="0" collapsed="false">
      <c r="G300" s="54"/>
    </row>
    <row r="301" customFormat="false" ht="15.75" hidden="false" customHeight="true" outlineLevel="0" collapsed="false">
      <c r="G301" s="54"/>
    </row>
    <row r="302" customFormat="false" ht="15.75" hidden="false" customHeight="true" outlineLevel="0" collapsed="false">
      <c r="G302" s="54"/>
    </row>
    <row r="303" customFormat="false" ht="15.75" hidden="false" customHeight="true" outlineLevel="0" collapsed="false">
      <c r="G303" s="54"/>
    </row>
    <row r="304" customFormat="false" ht="15.75" hidden="false" customHeight="true" outlineLevel="0" collapsed="false">
      <c r="G304" s="54"/>
    </row>
    <row r="305" customFormat="false" ht="15.75" hidden="false" customHeight="true" outlineLevel="0" collapsed="false">
      <c r="G305" s="54"/>
    </row>
    <row r="306" customFormat="false" ht="15.75" hidden="false" customHeight="true" outlineLevel="0" collapsed="false">
      <c r="G306" s="54"/>
    </row>
    <row r="307" customFormat="false" ht="15.75" hidden="false" customHeight="true" outlineLevel="0" collapsed="false">
      <c r="G307" s="54"/>
    </row>
    <row r="308" customFormat="false" ht="15.75" hidden="false" customHeight="true" outlineLevel="0" collapsed="false">
      <c r="G308" s="54"/>
    </row>
    <row r="309" customFormat="false" ht="15.75" hidden="false" customHeight="true" outlineLevel="0" collapsed="false">
      <c r="G309" s="54"/>
    </row>
    <row r="310" customFormat="false" ht="15.75" hidden="false" customHeight="true" outlineLevel="0" collapsed="false">
      <c r="G310" s="54"/>
    </row>
    <row r="311" customFormat="false" ht="15.75" hidden="false" customHeight="true" outlineLevel="0" collapsed="false">
      <c r="G311" s="54"/>
    </row>
    <row r="312" customFormat="false" ht="15.75" hidden="false" customHeight="true" outlineLevel="0" collapsed="false">
      <c r="G312" s="54"/>
    </row>
    <row r="313" customFormat="false" ht="15.75" hidden="false" customHeight="true" outlineLevel="0" collapsed="false">
      <c r="G313" s="54"/>
    </row>
    <row r="314" customFormat="false" ht="15.75" hidden="false" customHeight="true" outlineLevel="0" collapsed="false">
      <c r="G314" s="54"/>
    </row>
    <row r="315" customFormat="false" ht="15.75" hidden="false" customHeight="true" outlineLevel="0" collapsed="false">
      <c r="G315" s="54"/>
    </row>
    <row r="316" customFormat="false" ht="15.75" hidden="false" customHeight="true" outlineLevel="0" collapsed="false">
      <c r="G316" s="54"/>
    </row>
    <row r="317" customFormat="false" ht="15.75" hidden="false" customHeight="true" outlineLevel="0" collapsed="false">
      <c r="G317" s="54"/>
    </row>
    <row r="318" customFormat="false" ht="15.75" hidden="false" customHeight="true" outlineLevel="0" collapsed="false">
      <c r="G318" s="54"/>
    </row>
    <row r="319" customFormat="false" ht="15.75" hidden="false" customHeight="true" outlineLevel="0" collapsed="false">
      <c r="G319" s="54"/>
    </row>
    <row r="320" customFormat="false" ht="15.75" hidden="false" customHeight="true" outlineLevel="0" collapsed="false">
      <c r="G320" s="54"/>
    </row>
    <row r="321" customFormat="false" ht="15.75" hidden="false" customHeight="true" outlineLevel="0" collapsed="false">
      <c r="G321" s="54"/>
    </row>
    <row r="322" customFormat="false" ht="15.75" hidden="false" customHeight="true" outlineLevel="0" collapsed="false">
      <c r="G322" s="54"/>
    </row>
    <row r="323" customFormat="false" ht="15.75" hidden="false" customHeight="true" outlineLevel="0" collapsed="false">
      <c r="G323" s="54"/>
    </row>
    <row r="324" customFormat="false" ht="15.75" hidden="false" customHeight="true" outlineLevel="0" collapsed="false">
      <c r="G324" s="54"/>
    </row>
    <row r="325" customFormat="false" ht="15.75" hidden="false" customHeight="true" outlineLevel="0" collapsed="false">
      <c r="G325" s="54"/>
    </row>
    <row r="326" customFormat="false" ht="15.75" hidden="false" customHeight="true" outlineLevel="0" collapsed="false">
      <c r="G326" s="54"/>
    </row>
    <row r="327" customFormat="false" ht="15.75" hidden="false" customHeight="true" outlineLevel="0" collapsed="false">
      <c r="G327" s="54"/>
    </row>
    <row r="328" customFormat="false" ht="15.75" hidden="false" customHeight="true" outlineLevel="0" collapsed="false">
      <c r="G328" s="54"/>
    </row>
    <row r="329" customFormat="false" ht="15.75" hidden="false" customHeight="true" outlineLevel="0" collapsed="false">
      <c r="G329" s="54"/>
    </row>
    <row r="330" customFormat="false" ht="15.75" hidden="false" customHeight="true" outlineLevel="0" collapsed="false">
      <c r="G330" s="54"/>
    </row>
    <row r="331" customFormat="false" ht="15.75" hidden="false" customHeight="true" outlineLevel="0" collapsed="false">
      <c r="G331" s="54"/>
    </row>
    <row r="332" customFormat="false" ht="15.75" hidden="false" customHeight="true" outlineLevel="0" collapsed="false">
      <c r="G332" s="54"/>
    </row>
    <row r="333" customFormat="false" ht="15.75" hidden="false" customHeight="true" outlineLevel="0" collapsed="false">
      <c r="G333" s="54"/>
    </row>
    <row r="334" customFormat="false" ht="15.75" hidden="false" customHeight="true" outlineLevel="0" collapsed="false">
      <c r="G334" s="54"/>
    </row>
    <row r="335" customFormat="false" ht="15.75" hidden="false" customHeight="true" outlineLevel="0" collapsed="false">
      <c r="G335" s="54"/>
    </row>
    <row r="336" customFormat="false" ht="15.75" hidden="false" customHeight="true" outlineLevel="0" collapsed="false">
      <c r="G336" s="54"/>
    </row>
    <row r="337" customFormat="false" ht="15.75" hidden="false" customHeight="true" outlineLevel="0" collapsed="false">
      <c r="G337" s="54"/>
    </row>
    <row r="338" customFormat="false" ht="15.75" hidden="false" customHeight="true" outlineLevel="0" collapsed="false">
      <c r="G338" s="54"/>
    </row>
    <row r="339" customFormat="false" ht="15.75" hidden="false" customHeight="true" outlineLevel="0" collapsed="false">
      <c r="G339" s="54"/>
    </row>
    <row r="340" customFormat="false" ht="15.75" hidden="false" customHeight="true" outlineLevel="0" collapsed="false">
      <c r="G340" s="54"/>
    </row>
    <row r="341" customFormat="false" ht="15.75" hidden="false" customHeight="true" outlineLevel="0" collapsed="false">
      <c r="G341" s="54"/>
    </row>
    <row r="342" customFormat="false" ht="15.75" hidden="false" customHeight="true" outlineLevel="0" collapsed="false">
      <c r="G342" s="54"/>
    </row>
    <row r="343" customFormat="false" ht="15.75" hidden="false" customHeight="true" outlineLevel="0" collapsed="false">
      <c r="G343" s="54"/>
    </row>
    <row r="344" customFormat="false" ht="15.75" hidden="false" customHeight="true" outlineLevel="0" collapsed="false">
      <c r="G344" s="54"/>
    </row>
    <row r="345" customFormat="false" ht="15.75" hidden="false" customHeight="true" outlineLevel="0" collapsed="false">
      <c r="G345" s="54"/>
    </row>
    <row r="346" customFormat="false" ht="15.75" hidden="false" customHeight="true" outlineLevel="0" collapsed="false">
      <c r="G346" s="54"/>
    </row>
    <row r="347" customFormat="false" ht="15.75" hidden="false" customHeight="true" outlineLevel="0" collapsed="false">
      <c r="G347" s="54"/>
    </row>
    <row r="348" customFormat="false" ht="15.75" hidden="false" customHeight="true" outlineLevel="0" collapsed="false">
      <c r="G348" s="54"/>
    </row>
    <row r="349" customFormat="false" ht="15.75" hidden="false" customHeight="true" outlineLevel="0" collapsed="false">
      <c r="G349" s="54"/>
    </row>
    <row r="350" customFormat="false" ht="15.75" hidden="false" customHeight="true" outlineLevel="0" collapsed="false">
      <c r="G350" s="54"/>
    </row>
    <row r="351" customFormat="false" ht="15.75" hidden="false" customHeight="true" outlineLevel="0" collapsed="false">
      <c r="G351" s="54"/>
    </row>
    <row r="352" customFormat="false" ht="15.75" hidden="false" customHeight="true" outlineLevel="0" collapsed="false">
      <c r="G352" s="54"/>
    </row>
    <row r="353" customFormat="false" ht="15.75" hidden="false" customHeight="true" outlineLevel="0" collapsed="false">
      <c r="G353" s="54"/>
    </row>
    <row r="354" customFormat="false" ht="15.75" hidden="false" customHeight="true" outlineLevel="0" collapsed="false">
      <c r="G354" s="54"/>
    </row>
    <row r="355" customFormat="false" ht="15.75" hidden="false" customHeight="true" outlineLevel="0" collapsed="false">
      <c r="G355" s="54"/>
    </row>
    <row r="356" customFormat="false" ht="15.75" hidden="false" customHeight="true" outlineLevel="0" collapsed="false">
      <c r="G356" s="54"/>
    </row>
    <row r="357" customFormat="false" ht="15.75" hidden="false" customHeight="true" outlineLevel="0" collapsed="false">
      <c r="G357" s="54"/>
    </row>
    <row r="358" customFormat="false" ht="15.75" hidden="false" customHeight="true" outlineLevel="0" collapsed="false">
      <c r="G358" s="54"/>
    </row>
    <row r="359" customFormat="false" ht="15.75" hidden="false" customHeight="true" outlineLevel="0" collapsed="false">
      <c r="G359" s="54"/>
    </row>
    <row r="360" customFormat="false" ht="15.75" hidden="false" customHeight="true" outlineLevel="0" collapsed="false">
      <c r="G360" s="54"/>
    </row>
    <row r="361" customFormat="false" ht="15.75" hidden="false" customHeight="true" outlineLevel="0" collapsed="false">
      <c r="G361" s="54"/>
    </row>
    <row r="362" customFormat="false" ht="15.75" hidden="false" customHeight="true" outlineLevel="0" collapsed="false">
      <c r="G362" s="54"/>
    </row>
    <row r="363" customFormat="false" ht="15.75" hidden="false" customHeight="true" outlineLevel="0" collapsed="false">
      <c r="G363" s="54"/>
    </row>
    <row r="364" customFormat="false" ht="15.75" hidden="false" customHeight="true" outlineLevel="0" collapsed="false">
      <c r="G364" s="54"/>
    </row>
    <row r="365" customFormat="false" ht="15.75" hidden="false" customHeight="true" outlineLevel="0" collapsed="false">
      <c r="G365" s="54"/>
    </row>
    <row r="366" customFormat="false" ht="15.75" hidden="false" customHeight="true" outlineLevel="0" collapsed="false">
      <c r="G366" s="54"/>
    </row>
    <row r="367" customFormat="false" ht="15.75" hidden="false" customHeight="true" outlineLevel="0" collapsed="false">
      <c r="G367" s="54"/>
    </row>
    <row r="368" customFormat="false" ht="15.75" hidden="false" customHeight="true" outlineLevel="0" collapsed="false">
      <c r="G368" s="54"/>
    </row>
    <row r="369" customFormat="false" ht="15.75" hidden="false" customHeight="true" outlineLevel="0" collapsed="false">
      <c r="G369" s="54"/>
    </row>
    <row r="370" customFormat="false" ht="15.75" hidden="false" customHeight="true" outlineLevel="0" collapsed="false">
      <c r="G370" s="54"/>
    </row>
    <row r="371" customFormat="false" ht="15.75" hidden="false" customHeight="true" outlineLevel="0" collapsed="false">
      <c r="G371" s="54"/>
    </row>
    <row r="372" customFormat="false" ht="15.75" hidden="false" customHeight="true" outlineLevel="0" collapsed="false">
      <c r="G372" s="54"/>
    </row>
    <row r="373" customFormat="false" ht="15.75" hidden="false" customHeight="true" outlineLevel="0" collapsed="false">
      <c r="G373" s="54"/>
    </row>
    <row r="374" customFormat="false" ht="15.75" hidden="false" customHeight="true" outlineLevel="0" collapsed="false">
      <c r="G374" s="54"/>
    </row>
    <row r="375" customFormat="false" ht="15.75" hidden="false" customHeight="true" outlineLevel="0" collapsed="false">
      <c r="G375" s="54"/>
    </row>
    <row r="376" customFormat="false" ht="15.75" hidden="false" customHeight="true" outlineLevel="0" collapsed="false">
      <c r="G376" s="54"/>
    </row>
    <row r="377" customFormat="false" ht="15.75" hidden="false" customHeight="true" outlineLevel="0" collapsed="false">
      <c r="G377" s="54"/>
    </row>
    <row r="378" customFormat="false" ht="15.75" hidden="false" customHeight="true" outlineLevel="0" collapsed="false">
      <c r="G378" s="54"/>
    </row>
    <row r="379" customFormat="false" ht="15.75" hidden="false" customHeight="true" outlineLevel="0" collapsed="false">
      <c r="G379" s="54"/>
    </row>
    <row r="380" customFormat="false" ht="15.75" hidden="false" customHeight="true" outlineLevel="0" collapsed="false">
      <c r="G380" s="54"/>
    </row>
    <row r="381" customFormat="false" ht="15.75" hidden="false" customHeight="true" outlineLevel="0" collapsed="false">
      <c r="G381" s="54"/>
    </row>
    <row r="382" customFormat="false" ht="15.75" hidden="false" customHeight="true" outlineLevel="0" collapsed="false">
      <c r="G382" s="54"/>
    </row>
    <row r="383" customFormat="false" ht="15.75" hidden="false" customHeight="true" outlineLevel="0" collapsed="false">
      <c r="G383" s="54"/>
    </row>
    <row r="384" customFormat="false" ht="15.75" hidden="false" customHeight="true" outlineLevel="0" collapsed="false">
      <c r="G384" s="54"/>
    </row>
    <row r="385" customFormat="false" ht="15.75" hidden="false" customHeight="true" outlineLevel="0" collapsed="false">
      <c r="G385" s="54"/>
    </row>
    <row r="386" customFormat="false" ht="15.75" hidden="false" customHeight="true" outlineLevel="0" collapsed="false">
      <c r="G386" s="54"/>
    </row>
    <row r="387" customFormat="false" ht="15.75" hidden="false" customHeight="true" outlineLevel="0" collapsed="false">
      <c r="G387" s="54"/>
    </row>
    <row r="388" customFormat="false" ht="15.75" hidden="false" customHeight="true" outlineLevel="0" collapsed="false">
      <c r="G388" s="54"/>
    </row>
    <row r="389" customFormat="false" ht="15.75" hidden="false" customHeight="true" outlineLevel="0" collapsed="false">
      <c r="G389" s="54"/>
    </row>
    <row r="390" customFormat="false" ht="15.75" hidden="false" customHeight="true" outlineLevel="0" collapsed="false">
      <c r="G390" s="54"/>
    </row>
    <row r="391" customFormat="false" ht="15.75" hidden="false" customHeight="true" outlineLevel="0" collapsed="false">
      <c r="G391" s="54"/>
    </row>
    <row r="392" customFormat="false" ht="15.75" hidden="false" customHeight="true" outlineLevel="0" collapsed="false">
      <c r="G392" s="54"/>
    </row>
    <row r="393" customFormat="false" ht="15.75" hidden="false" customHeight="true" outlineLevel="0" collapsed="false">
      <c r="G393" s="54"/>
    </row>
    <row r="394" customFormat="false" ht="15.75" hidden="false" customHeight="true" outlineLevel="0" collapsed="false">
      <c r="G394" s="54"/>
    </row>
    <row r="395" customFormat="false" ht="15.75" hidden="false" customHeight="true" outlineLevel="0" collapsed="false">
      <c r="G395" s="54"/>
    </row>
    <row r="396" customFormat="false" ht="15.75" hidden="false" customHeight="true" outlineLevel="0" collapsed="false">
      <c r="G396" s="54"/>
    </row>
    <row r="397" customFormat="false" ht="15.75" hidden="false" customHeight="true" outlineLevel="0" collapsed="false">
      <c r="G397" s="54"/>
    </row>
    <row r="398" customFormat="false" ht="15.75" hidden="false" customHeight="true" outlineLevel="0" collapsed="false">
      <c r="G398" s="54"/>
    </row>
    <row r="399" customFormat="false" ht="15.75" hidden="false" customHeight="true" outlineLevel="0" collapsed="false">
      <c r="G399" s="54"/>
    </row>
    <row r="400" customFormat="false" ht="15.75" hidden="false" customHeight="true" outlineLevel="0" collapsed="false">
      <c r="G400" s="54"/>
    </row>
    <row r="401" customFormat="false" ht="15.75" hidden="false" customHeight="true" outlineLevel="0" collapsed="false">
      <c r="G401" s="54"/>
    </row>
    <row r="402" customFormat="false" ht="15.75" hidden="false" customHeight="true" outlineLevel="0" collapsed="false">
      <c r="G402" s="54"/>
    </row>
    <row r="403" customFormat="false" ht="15.75" hidden="false" customHeight="true" outlineLevel="0" collapsed="false">
      <c r="G403" s="54"/>
    </row>
    <row r="404" customFormat="false" ht="15.75" hidden="false" customHeight="true" outlineLevel="0" collapsed="false">
      <c r="G404" s="54"/>
    </row>
    <row r="405" customFormat="false" ht="15.75" hidden="false" customHeight="true" outlineLevel="0" collapsed="false">
      <c r="G405" s="54"/>
    </row>
    <row r="406" customFormat="false" ht="15.75" hidden="false" customHeight="true" outlineLevel="0" collapsed="false">
      <c r="G406" s="54"/>
    </row>
    <row r="407" customFormat="false" ht="15.75" hidden="false" customHeight="true" outlineLevel="0" collapsed="false">
      <c r="G407" s="54"/>
    </row>
    <row r="408" customFormat="false" ht="15.75" hidden="false" customHeight="true" outlineLevel="0" collapsed="false">
      <c r="G408" s="54"/>
    </row>
    <row r="409" customFormat="false" ht="15.75" hidden="false" customHeight="true" outlineLevel="0" collapsed="false">
      <c r="G409" s="54"/>
    </row>
    <row r="410" customFormat="false" ht="15.75" hidden="false" customHeight="true" outlineLevel="0" collapsed="false">
      <c r="G410" s="54"/>
    </row>
    <row r="411" customFormat="false" ht="15.75" hidden="false" customHeight="true" outlineLevel="0" collapsed="false">
      <c r="G411" s="54"/>
    </row>
    <row r="412" customFormat="false" ht="15.75" hidden="false" customHeight="true" outlineLevel="0" collapsed="false">
      <c r="G412" s="54"/>
    </row>
    <row r="413" customFormat="false" ht="15.75" hidden="false" customHeight="true" outlineLevel="0" collapsed="false">
      <c r="G413" s="54"/>
    </row>
    <row r="414" customFormat="false" ht="15.75" hidden="false" customHeight="true" outlineLevel="0" collapsed="false">
      <c r="G414" s="54"/>
    </row>
    <row r="415" customFormat="false" ht="15.75" hidden="false" customHeight="true" outlineLevel="0" collapsed="false">
      <c r="G415" s="54"/>
    </row>
    <row r="416" customFormat="false" ht="15.75" hidden="false" customHeight="true" outlineLevel="0" collapsed="false">
      <c r="G416" s="54"/>
    </row>
    <row r="417" customFormat="false" ht="15.75" hidden="false" customHeight="true" outlineLevel="0" collapsed="false">
      <c r="G417" s="54"/>
    </row>
    <row r="418" customFormat="false" ht="15.75" hidden="false" customHeight="true" outlineLevel="0" collapsed="false">
      <c r="G418" s="54"/>
    </row>
    <row r="419" customFormat="false" ht="15.75" hidden="false" customHeight="true" outlineLevel="0" collapsed="false">
      <c r="G419" s="54"/>
    </row>
    <row r="420" customFormat="false" ht="15.75" hidden="false" customHeight="true" outlineLevel="0" collapsed="false">
      <c r="G420" s="54"/>
    </row>
    <row r="421" customFormat="false" ht="15.75" hidden="false" customHeight="true" outlineLevel="0" collapsed="false">
      <c r="G421" s="54"/>
    </row>
    <row r="422" customFormat="false" ht="15.75" hidden="false" customHeight="true" outlineLevel="0" collapsed="false">
      <c r="G422" s="54"/>
    </row>
    <row r="423" customFormat="false" ht="15.75" hidden="false" customHeight="true" outlineLevel="0" collapsed="false">
      <c r="G423" s="54"/>
    </row>
    <row r="424" customFormat="false" ht="15.75" hidden="false" customHeight="true" outlineLevel="0" collapsed="false">
      <c r="G424" s="54"/>
    </row>
    <row r="425" customFormat="false" ht="15.75" hidden="false" customHeight="true" outlineLevel="0" collapsed="false">
      <c r="G425" s="54"/>
    </row>
    <row r="426" customFormat="false" ht="15.75" hidden="false" customHeight="true" outlineLevel="0" collapsed="false">
      <c r="G426" s="54"/>
    </row>
    <row r="427" customFormat="false" ht="15.75" hidden="false" customHeight="true" outlineLevel="0" collapsed="false">
      <c r="G427" s="54"/>
    </row>
    <row r="428" customFormat="false" ht="15.75" hidden="false" customHeight="true" outlineLevel="0" collapsed="false">
      <c r="G428" s="54"/>
    </row>
    <row r="429" customFormat="false" ht="15.75" hidden="false" customHeight="true" outlineLevel="0" collapsed="false">
      <c r="G429" s="54"/>
    </row>
    <row r="430" customFormat="false" ht="15.75" hidden="false" customHeight="true" outlineLevel="0" collapsed="false">
      <c r="G430" s="54"/>
    </row>
    <row r="431" customFormat="false" ht="15.75" hidden="false" customHeight="true" outlineLevel="0" collapsed="false">
      <c r="G431" s="54"/>
    </row>
    <row r="432" customFormat="false" ht="15.75" hidden="false" customHeight="true" outlineLevel="0" collapsed="false">
      <c r="G432" s="54"/>
    </row>
    <row r="433" customFormat="false" ht="15.75" hidden="false" customHeight="true" outlineLevel="0" collapsed="false">
      <c r="G433" s="54"/>
    </row>
    <row r="434" customFormat="false" ht="15.75" hidden="false" customHeight="true" outlineLevel="0" collapsed="false">
      <c r="G434" s="54"/>
    </row>
    <row r="435" customFormat="false" ht="15.75" hidden="false" customHeight="true" outlineLevel="0" collapsed="false">
      <c r="G435" s="54"/>
    </row>
    <row r="436" customFormat="false" ht="15.75" hidden="false" customHeight="true" outlineLevel="0" collapsed="false">
      <c r="G436" s="54"/>
    </row>
    <row r="437" customFormat="false" ht="15.75" hidden="false" customHeight="true" outlineLevel="0" collapsed="false">
      <c r="G437" s="54"/>
    </row>
    <row r="438" customFormat="false" ht="15.75" hidden="false" customHeight="true" outlineLevel="0" collapsed="false">
      <c r="G438" s="54"/>
    </row>
    <row r="439" customFormat="false" ht="15.75" hidden="false" customHeight="true" outlineLevel="0" collapsed="false">
      <c r="G439" s="54"/>
    </row>
    <row r="440" customFormat="false" ht="15.75" hidden="false" customHeight="true" outlineLevel="0" collapsed="false">
      <c r="G440" s="54"/>
    </row>
    <row r="441" customFormat="false" ht="15.75" hidden="false" customHeight="true" outlineLevel="0" collapsed="false">
      <c r="G441" s="54"/>
    </row>
    <row r="442" customFormat="false" ht="15.75" hidden="false" customHeight="true" outlineLevel="0" collapsed="false">
      <c r="G442" s="54"/>
    </row>
    <row r="443" customFormat="false" ht="15.75" hidden="false" customHeight="true" outlineLevel="0" collapsed="false">
      <c r="G443" s="54"/>
    </row>
    <row r="444" customFormat="false" ht="15.75" hidden="false" customHeight="true" outlineLevel="0" collapsed="false">
      <c r="G444" s="54"/>
    </row>
    <row r="445" customFormat="false" ht="15.75" hidden="false" customHeight="true" outlineLevel="0" collapsed="false">
      <c r="G445" s="54"/>
    </row>
    <row r="446" customFormat="false" ht="15.75" hidden="false" customHeight="true" outlineLevel="0" collapsed="false">
      <c r="G446" s="54"/>
    </row>
    <row r="447" customFormat="false" ht="15.75" hidden="false" customHeight="true" outlineLevel="0" collapsed="false">
      <c r="G447" s="54"/>
    </row>
    <row r="448" customFormat="false" ht="15.75" hidden="false" customHeight="true" outlineLevel="0" collapsed="false">
      <c r="G448" s="54"/>
    </row>
    <row r="449" customFormat="false" ht="15.75" hidden="false" customHeight="true" outlineLevel="0" collapsed="false">
      <c r="G449" s="54"/>
    </row>
    <row r="450" customFormat="false" ht="15.75" hidden="false" customHeight="true" outlineLevel="0" collapsed="false">
      <c r="G450" s="54"/>
    </row>
    <row r="451" customFormat="false" ht="15.75" hidden="false" customHeight="true" outlineLevel="0" collapsed="false">
      <c r="G451" s="54"/>
    </row>
    <row r="452" customFormat="false" ht="15.75" hidden="false" customHeight="true" outlineLevel="0" collapsed="false">
      <c r="G452" s="54"/>
    </row>
    <row r="453" customFormat="false" ht="15.75" hidden="false" customHeight="true" outlineLevel="0" collapsed="false">
      <c r="G453" s="54"/>
    </row>
    <row r="454" customFormat="false" ht="15.75" hidden="false" customHeight="true" outlineLevel="0" collapsed="false">
      <c r="G454" s="54"/>
    </row>
    <row r="455" customFormat="false" ht="15.75" hidden="false" customHeight="true" outlineLevel="0" collapsed="false">
      <c r="G455" s="54"/>
    </row>
    <row r="456" customFormat="false" ht="15.75" hidden="false" customHeight="true" outlineLevel="0" collapsed="false">
      <c r="G456" s="54"/>
    </row>
    <row r="457" customFormat="false" ht="15.75" hidden="false" customHeight="true" outlineLevel="0" collapsed="false">
      <c r="G457" s="54"/>
    </row>
    <row r="458" customFormat="false" ht="15.75" hidden="false" customHeight="true" outlineLevel="0" collapsed="false">
      <c r="G458" s="54"/>
    </row>
    <row r="459" customFormat="false" ht="15.75" hidden="false" customHeight="true" outlineLevel="0" collapsed="false">
      <c r="G459" s="54"/>
    </row>
    <row r="460" customFormat="false" ht="15.75" hidden="false" customHeight="true" outlineLevel="0" collapsed="false">
      <c r="G460" s="54"/>
    </row>
    <row r="461" customFormat="false" ht="15.75" hidden="false" customHeight="true" outlineLevel="0" collapsed="false">
      <c r="G461" s="54"/>
    </row>
    <row r="462" customFormat="false" ht="15.75" hidden="false" customHeight="true" outlineLevel="0" collapsed="false">
      <c r="G462" s="54"/>
    </row>
    <row r="463" customFormat="false" ht="15.75" hidden="false" customHeight="true" outlineLevel="0" collapsed="false">
      <c r="G463" s="54"/>
    </row>
    <row r="464" customFormat="false" ht="15.75" hidden="false" customHeight="true" outlineLevel="0" collapsed="false">
      <c r="G464" s="54"/>
    </row>
    <row r="465" customFormat="false" ht="15.75" hidden="false" customHeight="true" outlineLevel="0" collapsed="false">
      <c r="G465" s="54"/>
    </row>
    <row r="466" customFormat="false" ht="15.75" hidden="false" customHeight="true" outlineLevel="0" collapsed="false">
      <c r="G466" s="54"/>
    </row>
    <row r="467" customFormat="false" ht="15.75" hidden="false" customHeight="true" outlineLevel="0" collapsed="false">
      <c r="G467" s="54"/>
    </row>
    <row r="468" customFormat="false" ht="15.75" hidden="false" customHeight="true" outlineLevel="0" collapsed="false">
      <c r="G468" s="54"/>
    </row>
    <row r="469" customFormat="false" ht="15.75" hidden="false" customHeight="true" outlineLevel="0" collapsed="false">
      <c r="G469" s="54"/>
    </row>
    <row r="470" customFormat="false" ht="15.75" hidden="false" customHeight="true" outlineLevel="0" collapsed="false">
      <c r="G470" s="54"/>
    </row>
    <row r="471" customFormat="false" ht="15.75" hidden="false" customHeight="true" outlineLevel="0" collapsed="false">
      <c r="G471" s="54"/>
    </row>
    <row r="472" customFormat="false" ht="15.75" hidden="false" customHeight="true" outlineLevel="0" collapsed="false">
      <c r="G472" s="54"/>
    </row>
    <row r="473" customFormat="false" ht="15.75" hidden="false" customHeight="true" outlineLevel="0" collapsed="false">
      <c r="G473" s="54"/>
    </row>
    <row r="474" customFormat="false" ht="15.75" hidden="false" customHeight="true" outlineLevel="0" collapsed="false">
      <c r="G474" s="54"/>
    </row>
    <row r="475" customFormat="false" ht="15.75" hidden="false" customHeight="true" outlineLevel="0" collapsed="false">
      <c r="G475" s="54"/>
    </row>
    <row r="476" customFormat="false" ht="15.75" hidden="false" customHeight="true" outlineLevel="0" collapsed="false">
      <c r="G476" s="54"/>
    </row>
    <row r="477" customFormat="false" ht="15.75" hidden="false" customHeight="true" outlineLevel="0" collapsed="false">
      <c r="G477" s="54"/>
    </row>
    <row r="478" customFormat="false" ht="15.75" hidden="false" customHeight="true" outlineLevel="0" collapsed="false">
      <c r="G478" s="54"/>
    </row>
    <row r="479" customFormat="false" ht="15.75" hidden="false" customHeight="true" outlineLevel="0" collapsed="false">
      <c r="G479" s="54"/>
    </row>
    <row r="480" customFormat="false" ht="15.75" hidden="false" customHeight="true" outlineLevel="0" collapsed="false">
      <c r="G480" s="54"/>
    </row>
    <row r="481" customFormat="false" ht="15.75" hidden="false" customHeight="true" outlineLevel="0" collapsed="false">
      <c r="G481" s="54"/>
    </row>
    <row r="482" customFormat="false" ht="15.75" hidden="false" customHeight="true" outlineLevel="0" collapsed="false">
      <c r="G482" s="54"/>
    </row>
    <row r="483" customFormat="false" ht="15.75" hidden="false" customHeight="true" outlineLevel="0" collapsed="false">
      <c r="G483" s="54"/>
    </row>
    <row r="484" customFormat="false" ht="15.75" hidden="false" customHeight="true" outlineLevel="0" collapsed="false">
      <c r="G484" s="54"/>
    </row>
    <row r="485" customFormat="false" ht="15.75" hidden="false" customHeight="true" outlineLevel="0" collapsed="false">
      <c r="G485" s="54"/>
    </row>
    <row r="486" customFormat="false" ht="15.75" hidden="false" customHeight="true" outlineLevel="0" collapsed="false">
      <c r="G486" s="54"/>
    </row>
    <row r="487" customFormat="false" ht="15.75" hidden="false" customHeight="true" outlineLevel="0" collapsed="false">
      <c r="G487" s="54"/>
    </row>
    <row r="488" customFormat="false" ht="15.75" hidden="false" customHeight="true" outlineLevel="0" collapsed="false">
      <c r="G488" s="54"/>
    </row>
    <row r="489" customFormat="false" ht="15.75" hidden="false" customHeight="true" outlineLevel="0" collapsed="false">
      <c r="G489" s="54"/>
    </row>
    <row r="490" customFormat="false" ht="15.75" hidden="false" customHeight="true" outlineLevel="0" collapsed="false">
      <c r="G490" s="54"/>
    </row>
    <row r="491" customFormat="false" ht="15.75" hidden="false" customHeight="true" outlineLevel="0" collapsed="false">
      <c r="G491" s="54"/>
    </row>
    <row r="492" customFormat="false" ht="15.75" hidden="false" customHeight="true" outlineLevel="0" collapsed="false">
      <c r="G492" s="54"/>
    </row>
    <row r="493" customFormat="false" ht="15.75" hidden="false" customHeight="true" outlineLevel="0" collapsed="false">
      <c r="G493" s="54"/>
    </row>
    <row r="494" customFormat="false" ht="15.75" hidden="false" customHeight="true" outlineLevel="0" collapsed="false">
      <c r="G494" s="54"/>
    </row>
    <row r="495" customFormat="false" ht="15.75" hidden="false" customHeight="true" outlineLevel="0" collapsed="false">
      <c r="G495" s="54"/>
    </row>
    <row r="496" customFormat="false" ht="15.75" hidden="false" customHeight="true" outlineLevel="0" collapsed="false">
      <c r="G496" s="54"/>
    </row>
    <row r="497" customFormat="false" ht="15.75" hidden="false" customHeight="true" outlineLevel="0" collapsed="false">
      <c r="G497" s="54"/>
    </row>
    <row r="498" customFormat="false" ht="15.75" hidden="false" customHeight="true" outlineLevel="0" collapsed="false">
      <c r="G498" s="54"/>
    </row>
    <row r="499" customFormat="false" ht="15.75" hidden="false" customHeight="true" outlineLevel="0" collapsed="false">
      <c r="G499" s="54"/>
    </row>
    <row r="500" customFormat="false" ht="15.75" hidden="false" customHeight="true" outlineLevel="0" collapsed="false">
      <c r="G500" s="54"/>
    </row>
    <row r="501" customFormat="false" ht="15.75" hidden="false" customHeight="true" outlineLevel="0" collapsed="false">
      <c r="G501" s="54"/>
    </row>
    <row r="502" customFormat="false" ht="15.75" hidden="false" customHeight="true" outlineLevel="0" collapsed="false">
      <c r="G502" s="54"/>
    </row>
    <row r="503" customFormat="false" ht="15.75" hidden="false" customHeight="true" outlineLevel="0" collapsed="false">
      <c r="G503" s="54"/>
    </row>
    <row r="504" customFormat="false" ht="15.75" hidden="false" customHeight="true" outlineLevel="0" collapsed="false">
      <c r="G504" s="54"/>
    </row>
    <row r="505" customFormat="false" ht="15.75" hidden="false" customHeight="true" outlineLevel="0" collapsed="false">
      <c r="G505" s="54"/>
    </row>
    <row r="506" customFormat="false" ht="15.75" hidden="false" customHeight="true" outlineLevel="0" collapsed="false">
      <c r="G506" s="54"/>
    </row>
    <row r="507" customFormat="false" ht="15.75" hidden="false" customHeight="true" outlineLevel="0" collapsed="false">
      <c r="G507" s="54"/>
    </row>
    <row r="508" customFormat="false" ht="15.75" hidden="false" customHeight="true" outlineLevel="0" collapsed="false">
      <c r="G508" s="54"/>
    </row>
    <row r="509" customFormat="false" ht="15.75" hidden="false" customHeight="true" outlineLevel="0" collapsed="false">
      <c r="G509" s="54"/>
    </row>
    <row r="510" customFormat="false" ht="15.75" hidden="false" customHeight="true" outlineLevel="0" collapsed="false">
      <c r="G510" s="54"/>
    </row>
    <row r="511" customFormat="false" ht="15.75" hidden="false" customHeight="true" outlineLevel="0" collapsed="false">
      <c r="G511" s="54"/>
    </row>
    <row r="512" customFormat="false" ht="15.75" hidden="false" customHeight="true" outlineLevel="0" collapsed="false">
      <c r="G512" s="54"/>
    </row>
    <row r="513" customFormat="false" ht="15.75" hidden="false" customHeight="true" outlineLevel="0" collapsed="false">
      <c r="G513" s="54"/>
    </row>
    <row r="514" customFormat="false" ht="15.75" hidden="false" customHeight="true" outlineLevel="0" collapsed="false">
      <c r="G514" s="54"/>
    </row>
    <row r="515" customFormat="false" ht="15.75" hidden="false" customHeight="true" outlineLevel="0" collapsed="false">
      <c r="G515" s="54"/>
    </row>
    <row r="516" customFormat="false" ht="15.75" hidden="false" customHeight="true" outlineLevel="0" collapsed="false">
      <c r="G516" s="54"/>
    </row>
    <row r="517" customFormat="false" ht="15.75" hidden="false" customHeight="true" outlineLevel="0" collapsed="false">
      <c r="G517" s="54"/>
    </row>
    <row r="518" customFormat="false" ht="15.75" hidden="false" customHeight="true" outlineLevel="0" collapsed="false">
      <c r="G518" s="54"/>
    </row>
    <row r="519" customFormat="false" ht="15.75" hidden="false" customHeight="true" outlineLevel="0" collapsed="false">
      <c r="G519" s="54"/>
    </row>
    <row r="520" customFormat="false" ht="15.75" hidden="false" customHeight="true" outlineLevel="0" collapsed="false">
      <c r="G520" s="54"/>
    </row>
    <row r="521" customFormat="false" ht="15.75" hidden="false" customHeight="true" outlineLevel="0" collapsed="false">
      <c r="G521" s="54"/>
    </row>
    <row r="522" customFormat="false" ht="15.75" hidden="false" customHeight="true" outlineLevel="0" collapsed="false">
      <c r="G522" s="54"/>
    </row>
    <row r="523" customFormat="false" ht="15.75" hidden="false" customHeight="true" outlineLevel="0" collapsed="false">
      <c r="G523" s="54"/>
    </row>
    <row r="524" customFormat="false" ht="15.75" hidden="false" customHeight="true" outlineLevel="0" collapsed="false">
      <c r="G524" s="54"/>
    </row>
    <row r="525" customFormat="false" ht="15.75" hidden="false" customHeight="true" outlineLevel="0" collapsed="false">
      <c r="G525" s="54"/>
    </row>
    <row r="526" customFormat="false" ht="15.75" hidden="false" customHeight="true" outlineLevel="0" collapsed="false">
      <c r="G526" s="54"/>
    </row>
    <row r="527" customFormat="false" ht="15.75" hidden="false" customHeight="true" outlineLevel="0" collapsed="false">
      <c r="G527" s="54"/>
    </row>
    <row r="528" customFormat="false" ht="15.75" hidden="false" customHeight="true" outlineLevel="0" collapsed="false">
      <c r="G528" s="54"/>
    </row>
    <row r="529" customFormat="false" ht="15.75" hidden="false" customHeight="true" outlineLevel="0" collapsed="false">
      <c r="G529" s="54"/>
    </row>
    <row r="530" customFormat="false" ht="15.75" hidden="false" customHeight="true" outlineLevel="0" collapsed="false">
      <c r="G530" s="54"/>
    </row>
    <row r="531" customFormat="false" ht="15.75" hidden="false" customHeight="true" outlineLevel="0" collapsed="false">
      <c r="G531" s="54"/>
    </row>
    <row r="532" customFormat="false" ht="15.75" hidden="false" customHeight="true" outlineLevel="0" collapsed="false">
      <c r="G532" s="54"/>
    </row>
    <row r="533" customFormat="false" ht="15.75" hidden="false" customHeight="true" outlineLevel="0" collapsed="false">
      <c r="G533" s="54"/>
    </row>
    <row r="534" customFormat="false" ht="15.75" hidden="false" customHeight="true" outlineLevel="0" collapsed="false">
      <c r="G534" s="54"/>
    </row>
    <row r="535" customFormat="false" ht="15.75" hidden="false" customHeight="true" outlineLevel="0" collapsed="false">
      <c r="G535" s="54"/>
    </row>
    <row r="536" customFormat="false" ht="15.75" hidden="false" customHeight="true" outlineLevel="0" collapsed="false">
      <c r="G536" s="54"/>
    </row>
    <row r="537" customFormat="false" ht="15.75" hidden="false" customHeight="true" outlineLevel="0" collapsed="false">
      <c r="G537" s="54"/>
    </row>
    <row r="538" customFormat="false" ht="15.75" hidden="false" customHeight="true" outlineLevel="0" collapsed="false">
      <c r="G538" s="54"/>
    </row>
    <row r="539" customFormat="false" ht="15.75" hidden="false" customHeight="true" outlineLevel="0" collapsed="false">
      <c r="G539" s="54"/>
    </row>
    <row r="540" customFormat="false" ht="15.75" hidden="false" customHeight="true" outlineLevel="0" collapsed="false">
      <c r="G540" s="54"/>
    </row>
    <row r="541" customFormat="false" ht="15.75" hidden="false" customHeight="true" outlineLevel="0" collapsed="false">
      <c r="G541" s="54"/>
    </row>
    <row r="542" customFormat="false" ht="15.75" hidden="false" customHeight="true" outlineLevel="0" collapsed="false">
      <c r="G542" s="54"/>
    </row>
    <row r="543" customFormat="false" ht="15.75" hidden="false" customHeight="true" outlineLevel="0" collapsed="false">
      <c r="G543" s="54"/>
    </row>
    <row r="544" customFormat="false" ht="15.75" hidden="false" customHeight="true" outlineLevel="0" collapsed="false">
      <c r="G544" s="54"/>
    </row>
    <row r="545" customFormat="false" ht="15.75" hidden="false" customHeight="true" outlineLevel="0" collapsed="false">
      <c r="G545" s="54"/>
    </row>
    <row r="546" customFormat="false" ht="15.75" hidden="false" customHeight="true" outlineLevel="0" collapsed="false">
      <c r="G546" s="54"/>
    </row>
    <row r="547" customFormat="false" ht="15.75" hidden="false" customHeight="true" outlineLevel="0" collapsed="false">
      <c r="G547" s="54"/>
    </row>
    <row r="548" customFormat="false" ht="15.75" hidden="false" customHeight="true" outlineLevel="0" collapsed="false">
      <c r="G548" s="54"/>
    </row>
    <row r="549" customFormat="false" ht="15.75" hidden="false" customHeight="true" outlineLevel="0" collapsed="false">
      <c r="G549" s="54"/>
    </row>
    <row r="550" customFormat="false" ht="15.75" hidden="false" customHeight="true" outlineLevel="0" collapsed="false">
      <c r="G550" s="54"/>
    </row>
    <row r="551" customFormat="false" ht="15.75" hidden="false" customHeight="true" outlineLevel="0" collapsed="false">
      <c r="G551" s="54"/>
    </row>
    <row r="552" customFormat="false" ht="15.75" hidden="false" customHeight="true" outlineLevel="0" collapsed="false">
      <c r="G552" s="54"/>
    </row>
    <row r="553" customFormat="false" ht="15.75" hidden="false" customHeight="true" outlineLevel="0" collapsed="false">
      <c r="G553" s="54"/>
    </row>
    <row r="554" customFormat="false" ht="15.75" hidden="false" customHeight="true" outlineLevel="0" collapsed="false">
      <c r="G554" s="54"/>
    </row>
    <row r="555" customFormat="false" ht="15.75" hidden="false" customHeight="true" outlineLevel="0" collapsed="false">
      <c r="G555" s="54"/>
    </row>
    <row r="556" customFormat="false" ht="15.75" hidden="false" customHeight="true" outlineLevel="0" collapsed="false">
      <c r="G556" s="54"/>
    </row>
    <row r="557" customFormat="false" ht="15.75" hidden="false" customHeight="true" outlineLevel="0" collapsed="false">
      <c r="G557" s="54"/>
    </row>
    <row r="558" customFormat="false" ht="15.75" hidden="false" customHeight="true" outlineLevel="0" collapsed="false">
      <c r="G558" s="54"/>
    </row>
    <row r="559" customFormat="false" ht="15.75" hidden="false" customHeight="true" outlineLevel="0" collapsed="false">
      <c r="G559" s="54"/>
    </row>
    <row r="560" customFormat="false" ht="15.75" hidden="false" customHeight="true" outlineLevel="0" collapsed="false">
      <c r="G560" s="54"/>
    </row>
    <row r="561" customFormat="false" ht="15.75" hidden="false" customHeight="true" outlineLevel="0" collapsed="false">
      <c r="G561" s="54"/>
    </row>
    <row r="562" customFormat="false" ht="15.75" hidden="false" customHeight="true" outlineLevel="0" collapsed="false">
      <c r="G562" s="54"/>
    </row>
    <row r="563" customFormat="false" ht="15.75" hidden="false" customHeight="true" outlineLevel="0" collapsed="false">
      <c r="G563" s="54"/>
    </row>
    <row r="564" customFormat="false" ht="15.75" hidden="false" customHeight="true" outlineLevel="0" collapsed="false">
      <c r="G564" s="54"/>
    </row>
    <row r="565" customFormat="false" ht="15.75" hidden="false" customHeight="true" outlineLevel="0" collapsed="false">
      <c r="G565" s="54"/>
    </row>
    <row r="566" customFormat="false" ht="15.75" hidden="false" customHeight="true" outlineLevel="0" collapsed="false">
      <c r="G566" s="54"/>
    </row>
    <row r="567" customFormat="false" ht="15.75" hidden="false" customHeight="true" outlineLevel="0" collapsed="false">
      <c r="G567" s="54"/>
    </row>
    <row r="568" customFormat="false" ht="15.75" hidden="false" customHeight="true" outlineLevel="0" collapsed="false">
      <c r="G568" s="54"/>
    </row>
    <row r="569" customFormat="false" ht="15.75" hidden="false" customHeight="true" outlineLevel="0" collapsed="false">
      <c r="G569" s="54"/>
    </row>
    <row r="570" customFormat="false" ht="15.75" hidden="false" customHeight="true" outlineLevel="0" collapsed="false">
      <c r="G570" s="54"/>
    </row>
    <row r="571" customFormat="false" ht="15.75" hidden="false" customHeight="true" outlineLevel="0" collapsed="false">
      <c r="G571" s="54"/>
    </row>
    <row r="572" customFormat="false" ht="15.75" hidden="false" customHeight="true" outlineLevel="0" collapsed="false">
      <c r="G572" s="54"/>
    </row>
    <row r="573" customFormat="false" ht="15.75" hidden="false" customHeight="true" outlineLevel="0" collapsed="false">
      <c r="G573" s="54"/>
    </row>
    <row r="574" customFormat="false" ht="15.75" hidden="false" customHeight="true" outlineLevel="0" collapsed="false">
      <c r="G574" s="54"/>
    </row>
    <row r="575" customFormat="false" ht="15.75" hidden="false" customHeight="true" outlineLevel="0" collapsed="false">
      <c r="G575" s="54"/>
    </row>
    <row r="576" customFormat="false" ht="15.75" hidden="false" customHeight="true" outlineLevel="0" collapsed="false">
      <c r="G576" s="54"/>
    </row>
    <row r="577" customFormat="false" ht="15.75" hidden="false" customHeight="true" outlineLevel="0" collapsed="false">
      <c r="G577" s="54"/>
    </row>
    <row r="578" customFormat="false" ht="15.75" hidden="false" customHeight="true" outlineLevel="0" collapsed="false">
      <c r="G578" s="54"/>
    </row>
    <row r="579" customFormat="false" ht="15.75" hidden="false" customHeight="true" outlineLevel="0" collapsed="false">
      <c r="G579" s="54"/>
    </row>
    <row r="580" customFormat="false" ht="15.75" hidden="false" customHeight="true" outlineLevel="0" collapsed="false">
      <c r="G580" s="54"/>
    </row>
    <row r="581" customFormat="false" ht="15.75" hidden="false" customHeight="true" outlineLevel="0" collapsed="false">
      <c r="G581" s="54"/>
    </row>
    <row r="582" customFormat="false" ht="15.75" hidden="false" customHeight="true" outlineLevel="0" collapsed="false">
      <c r="G582" s="54"/>
    </row>
    <row r="583" customFormat="false" ht="15.75" hidden="false" customHeight="true" outlineLevel="0" collapsed="false">
      <c r="G583" s="54"/>
    </row>
    <row r="584" customFormat="false" ht="15.75" hidden="false" customHeight="true" outlineLevel="0" collapsed="false">
      <c r="G584" s="54"/>
    </row>
    <row r="585" customFormat="false" ht="15.75" hidden="false" customHeight="true" outlineLevel="0" collapsed="false">
      <c r="G585" s="54"/>
    </row>
    <row r="586" customFormat="false" ht="15.75" hidden="false" customHeight="true" outlineLevel="0" collapsed="false">
      <c r="G586" s="54"/>
    </row>
    <row r="587" customFormat="false" ht="15.75" hidden="false" customHeight="true" outlineLevel="0" collapsed="false">
      <c r="G587" s="54"/>
    </row>
    <row r="588" customFormat="false" ht="15.75" hidden="false" customHeight="true" outlineLevel="0" collapsed="false">
      <c r="G588" s="54"/>
    </row>
    <row r="589" customFormat="false" ht="15.75" hidden="false" customHeight="true" outlineLevel="0" collapsed="false">
      <c r="G589" s="54"/>
    </row>
    <row r="590" customFormat="false" ht="15.75" hidden="false" customHeight="true" outlineLevel="0" collapsed="false">
      <c r="G590" s="54"/>
    </row>
    <row r="591" customFormat="false" ht="15.75" hidden="false" customHeight="true" outlineLevel="0" collapsed="false">
      <c r="G591" s="54"/>
    </row>
    <row r="592" customFormat="false" ht="15.75" hidden="false" customHeight="true" outlineLevel="0" collapsed="false">
      <c r="G592" s="54"/>
    </row>
    <row r="593" customFormat="false" ht="15.75" hidden="false" customHeight="true" outlineLevel="0" collapsed="false">
      <c r="G593" s="54"/>
    </row>
    <row r="594" customFormat="false" ht="15.75" hidden="false" customHeight="true" outlineLevel="0" collapsed="false">
      <c r="G594" s="54"/>
    </row>
    <row r="595" customFormat="false" ht="15.75" hidden="false" customHeight="true" outlineLevel="0" collapsed="false">
      <c r="G595" s="54"/>
    </row>
    <row r="596" customFormat="false" ht="15.75" hidden="false" customHeight="true" outlineLevel="0" collapsed="false">
      <c r="G596" s="54"/>
    </row>
    <row r="597" customFormat="false" ht="15.75" hidden="false" customHeight="true" outlineLevel="0" collapsed="false">
      <c r="G597" s="54"/>
    </row>
    <row r="598" customFormat="false" ht="15.75" hidden="false" customHeight="true" outlineLevel="0" collapsed="false">
      <c r="G598" s="54"/>
    </row>
    <row r="599" customFormat="false" ht="15.75" hidden="false" customHeight="true" outlineLevel="0" collapsed="false">
      <c r="G599" s="54"/>
    </row>
    <row r="600" customFormat="false" ht="15.75" hidden="false" customHeight="true" outlineLevel="0" collapsed="false">
      <c r="G600" s="54"/>
    </row>
    <row r="601" customFormat="false" ht="15.75" hidden="false" customHeight="true" outlineLevel="0" collapsed="false">
      <c r="G601" s="54"/>
    </row>
    <row r="602" customFormat="false" ht="15.75" hidden="false" customHeight="true" outlineLevel="0" collapsed="false">
      <c r="G602" s="54"/>
    </row>
    <row r="603" customFormat="false" ht="15.75" hidden="false" customHeight="true" outlineLevel="0" collapsed="false">
      <c r="G603" s="54"/>
    </row>
    <row r="604" customFormat="false" ht="15.75" hidden="false" customHeight="true" outlineLevel="0" collapsed="false">
      <c r="G604" s="54"/>
    </row>
    <row r="605" customFormat="false" ht="15.75" hidden="false" customHeight="true" outlineLevel="0" collapsed="false">
      <c r="G605" s="54"/>
    </row>
    <row r="606" customFormat="false" ht="15.75" hidden="false" customHeight="true" outlineLevel="0" collapsed="false">
      <c r="G606" s="54"/>
    </row>
    <row r="607" customFormat="false" ht="15.75" hidden="false" customHeight="true" outlineLevel="0" collapsed="false">
      <c r="G607" s="54"/>
    </row>
    <row r="608" customFormat="false" ht="15.75" hidden="false" customHeight="true" outlineLevel="0" collapsed="false">
      <c r="G608" s="54"/>
    </row>
    <row r="609" customFormat="false" ht="15.75" hidden="false" customHeight="true" outlineLevel="0" collapsed="false">
      <c r="G609" s="54"/>
    </row>
    <row r="610" customFormat="false" ht="15.75" hidden="false" customHeight="true" outlineLevel="0" collapsed="false">
      <c r="G610" s="54"/>
    </row>
    <row r="611" customFormat="false" ht="15.75" hidden="false" customHeight="true" outlineLevel="0" collapsed="false">
      <c r="G611" s="54"/>
    </row>
    <row r="612" customFormat="false" ht="15.75" hidden="false" customHeight="true" outlineLevel="0" collapsed="false">
      <c r="G612" s="54"/>
    </row>
    <row r="613" customFormat="false" ht="15.75" hidden="false" customHeight="true" outlineLevel="0" collapsed="false">
      <c r="G613" s="54"/>
    </row>
    <row r="614" customFormat="false" ht="15.75" hidden="false" customHeight="true" outlineLevel="0" collapsed="false">
      <c r="G614" s="54"/>
    </row>
    <row r="615" customFormat="false" ht="15.75" hidden="false" customHeight="true" outlineLevel="0" collapsed="false">
      <c r="G615" s="54"/>
    </row>
    <row r="616" customFormat="false" ht="15.75" hidden="false" customHeight="true" outlineLevel="0" collapsed="false">
      <c r="G616" s="54"/>
    </row>
    <row r="617" customFormat="false" ht="15.75" hidden="false" customHeight="true" outlineLevel="0" collapsed="false">
      <c r="G617" s="54"/>
    </row>
    <row r="618" customFormat="false" ht="15.75" hidden="false" customHeight="true" outlineLevel="0" collapsed="false">
      <c r="G618" s="54"/>
    </row>
    <row r="619" customFormat="false" ht="15.75" hidden="false" customHeight="true" outlineLevel="0" collapsed="false">
      <c r="G619" s="54"/>
    </row>
    <row r="620" customFormat="false" ht="15.75" hidden="false" customHeight="true" outlineLevel="0" collapsed="false">
      <c r="G620" s="54"/>
    </row>
    <row r="621" customFormat="false" ht="15.75" hidden="false" customHeight="true" outlineLevel="0" collapsed="false">
      <c r="G621" s="54"/>
    </row>
    <row r="622" customFormat="false" ht="15.75" hidden="false" customHeight="true" outlineLevel="0" collapsed="false">
      <c r="G622" s="54"/>
    </row>
    <row r="623" customFormat="false" ht="15.75" hidden="false" customHeight="true" outlineLevel="0" collapsed="false">
      <c r="G623" s="54"/>
    </row>
    <row r="624" customFormat="false" ht="15.75" hidden="false" customHeight="true" outlineLevel="0" collapsed="false">
      <c r="G624" s="54"/>
    </row>
    <row r="625" customFormat="false" ht="15.75" hidden="false" customHeight="true" outlineLevel="0" collapsed="false">
      <c r="G625" s="54"/>
    </row>
    <row r="626" customFormat="false" ht="15.75" hidden="false" customHeight="true" outlineLevel="0" collapsed="false">
      <c r="G626" s="54"/>
    </row>
    <row r="627" customFormat="false" ht="15.75" hidden="false" customHeight="true" outlineLevel="0" collapsed="false">
      <c r="G627" s="54"/>
    </row>
    <row r="628" customFormat="false" ht="15.75" hidden="false" customHeight="true" outlineLevel="0" collapsed="false">
      <c r="G628" s="54"/>
    </row>
    <row r="629" customFormat="false" ht="15.75" hidden="false" customHeight="true" outlineLevel="0" collapsed="false">
      <c r="G629" s="54"/>
    </row>
    <row r="630" customFormat="false" ht="15.75" hidden="false" customHeight="true" outlineLevel="0" collapsed="false">
      <c r="G630" s="54"/>
    </row>
    <row r="631" customFormat="false" ht="15.75" hidden="false" customHeight="true" outlineLevel="0" collapsed="false">
      <c r="G631" s="54"/>
    </row>
    <row r="632" customFormat="false" ht="15.75" hidden="false" customHeight="true" outlineLevel="0" collapsed="false">
      <c r="G632" s="54"/>
    </row>
    <row r="633" customFormat="false" ht="15.75" hidden="false" customHeight="true" outlineLevel="0" collapsed="false">
      <c r="G633" s="54"/>
    </row>
    <row r="634" customFormat="false" ht="15.75" hidden="false" customHeight="true" outlineLevel="0" collapsed="false">
      <c r="G634" s="54"/>
    </row>
    <row r="635" customFormat="false" ht="15.75" hidden="false" customHeight="true" outlineLevel="0" collapsed="false">
      <c r="G635" s="54"/>
    </row>
    <row r="636" customFormat="false" ht="15.75" hidden="false" customHeight="true" outlineLevel="0" collapsed="false">
      <c r="G636" s="54"/>
    </row>
    <row r="637" customFormat="false" ht="15.75" hidden="false" customHeight="true" outlineLevel="0" collapsed="false">
      <c r="G637" s="54"/>
    </row>
    <row r="638" customFormat="false" ht="15.75" hidden="false" customHeight="true" outlineLevel="0" collapsed="false">
      <c r="G638" s="54"/>
    </row>
    <row r="639" customFormat="false" ht="15.75" hidden="false" customHeight="true" outlineLevel="0" collapsed="false">
      <c r="G639" s="54"/>
    </row>
    <row r="640" customFormat="false" ht="15.75" hidden="false" customHeight="true" outlineLevel="0" collapsed="false">
      <c r="G640" s="54"/>
    </row>
    <row r="641" customFormat="false" ht="15.75" hidden="false" customHeight="true" outlineLevel="0" collapsed="false">
      <c r="G641" s="54"/>
    </row>
    <row r="642" customFormat="false" ht="15.75" hidden="false" customHeight="true" outlineLevel="0" collapsed="false">
      <c r="G642" s="54"/>
    </row>
    <row r="643" customFormat="false" ht="15.75" hidden="false" customHeight="true" outlineLevel="0" collapsed="false">
      <c r="G643" s="54"/>
    </row>
    <row r="644" customFormat="false" ht="15.75" hidden="false" customHeight="true" outlineLevel="0" collapsed="false">
      <c r="G644" s="54"/>
    </row>
    <row r="645" customFormat="false" ht="15.75" hidden="false" customHeight="true" outlineLevel="0" collapsed="false">
      <c r="G645" s="54"/>
    </row>
    <row r="646" customFormat="false" ht="15.75" hidden="false" customHeight="true" outlineLevel="0" collapsed="false">
      <c r="G646" s="54"/>
    </row>
    <row r="647" customFormat="false" ht="15.75" hidden="false" customHeight="true" outlineLevel="0" collapsed="false">
      <c r="G647" s="54"/>
    </row>
    <row r="648" customFormat="false" ht="15.75" hidden="false" customHeight="true" outlineLevel="0" collapsed="false">
      <c r="G648" s="54"/>
    </row>
    <row r="649" customFormat="false" ht="15.75" hidden="false" customHeight="true" outlineLevel="0" collapsed="false">
      <c r="G649" s="54"/>
    </row>
    <row r="650" customFormat="false" ht="15.75" hidden="false" customHeight="true" outlineLevel="0" collapsed="false">
      <c r="G650" s="54"/>
    </row>
    <row r="651" customFormat="false" ht="15.75" hidden="false" customHeight="true" outlineLevel="0" collapsed="false">
      <c r="G651" s="54"/>
    </row>
    <row r="652" customFormat="false" ht="15.75" hidden="false" customHeight="true" outlineLevel="0" collapsed="false">
      <c r="G652" s="54"/>
    </row>
    <row r="653" customFormat="false" ht="15.75" hidden="false" customHeight="true" outlineLevel="0" collapsed="false">
      <c r="G653" s="54"/>
    </row>
    <row r="654" customFormat="false" ht="15.75" hidden="false" customHeight="true" outlineLevel="0" collapsed="false">
      <c r="G654" s="54"/>
    </row>
    <row r="655" customFormat="false" ht="15.75" hidden="false" customHeight="true" outlineLevel="0" collapsed="false">
      <c r="G655" s="54"/>
    </row>
    <row r="656" customFormat="false" ht="15.75" hidden="false" customHeight="true" outlineLevel="0" collapsed="false">
      <c r="G656" s="54"/>
    </row>
    <row r="657" customFormat="false" ht="15.75" hidden="false" customHeight="true" outlineLevel="0" collapsed="false">
      <c r="G657" s="54"/>
    </row>
    <row r="658" customFormat="false" ht="15.75" hidden="false" customHeight="true" outlineLevel="0" collapsed="false">
      <c r="G658" s="54"/>
    </row>
    <row r="659" customFormat="false" ht="15.75" hidden="false" customHeight="true" outlineLevel="0" collapsed="false">
      <c r="G659" s="54"/>
    </row>
    <row r="660" customFormat="false" ht="15.75" hidden="false" customHeight="true" outlineLevel="0" collapsed="false">
      <c r="G660" s="54"/>
    </row>
    <row r="661" customFormat="false" ht="15.75" hidden="false" customHeight="true" outlineLevel="0" collapsed="false">
      <c r="G661" s="54"/>
    </row>
    <row r="662" customFormat="false" ht="15.75" hidden="false" customHeight="true" outlineLevel="0" collapsed="false">
      <c r="G662" s="54"/>
    </row>
    <row r="663" customFormat="false" ht="15.75" hidden="false" customHeight="true" outlineLevel="0" collapsed="false">
      <c r="G663" s="54"/>
    </row>
    <row r="664" customFormat="false" ht="15.75" hidden="false" customHeight="true" outlineLevel="0" collapsed="false">
      <c r="G664" s="54"/>
    </row>
    <row r="665" customFormat="false" ht="15.75" hidden="false" customHeight="true" outlineLevel="0" collapsed="false">
      <c r="G665" s="54"/>
    </row>
    <row r="666" customFormat="false" ht="15.75" hidden="false" customHeight="true" outlineLevel="0" collapsed="false">
      <c r="G666" s="54"/>
    </row>
    <row r="667" customFormat="false" ht="15.75" hidden="false" customHeight="true" outlineLevel="0" collapsed="false">
      <c r="G667" s="54"/>
    </row>
    <row r="668" customFormat="false" ht="15.75" hidden="false" customHeight="true" outlineLevel="0" collapsed="false">
      <c r="G668" s="54"/>
    </row>
    <row r="669" customFormat="false" ht="15.75" hidden="false" customHeight="true" outlineLevel="0" collapsed="false">
      <c r="G669" s="54"/>
    </row>
    <row r="670" customFormat="false" ht="15.75" hidden="false" customHeight="true" outlineLevel="0" collapsed="false">
      <c r="G670" s="54"/>
    </row>
    <row r="671" customFormat="false" ht="15.75" hidden="false" customHeight="true" outlineLevel="0" collapsed="false">
      <c r="G671" s="54"/>
    </row>
    <row r="672" customFormat="false" ht="15.75" hidden="false" customHeight="true" outlineLevel="0" collapsed="false">
      <c r="G672" s="54"/>
    </row>
    <row r="673" customFormat="false" ht="15.75" hidden="false" customHeight="true" outlineLevel="0" collapsed="false">
      <c r="G673" s="54"/>
    </row>
    <row r="674" customFormat="false" ht="15.75" hidden="false" customHeight="true" outlineLevel="0" collapsed="false">
      <c r="G674" s="54"/>
    </row>
    <row r="675" customFormat="false" ht="15.75" hidden="false" customHeight="true" outlineLevel="0" collapsed="false">
      <c r="G675" s="54"/>
    </row>
    <row r="676" customFormat="false" ht="15.75" hidden="false" customHeight="true" outlineLevel="0" collapsed="false">
      <c r="G676" s="54"/>
    </row>
    <row r="677" customFormat="false" ht="15.75" hidden="false" customHeight="true" outlineLevel="0" collapsed="false">
      <c r="G677" s="54"/>
    </row>
    <row r="678" customFormat="false" ht="15.75" hidden="false" customHeight="true" outlineLevel="0" collapsed="false">
      <c r="G678" s="54"/>
    </row>
    <row r="679" customFormat="false" ht="15.75" hidden="false" customHeight="true" outlineLevel="0" collapsed="false">
      <c r="G679" s="54"/>
    </row>
    <row r="680" customFormat="false" ht="15.75" hidden="false" customHeight="true" outlineLevel="0" collapsed="false">
      <c r="G680" s="54"/>
    </row>
    <row r="681" customFormat="false" ht="15.75" hidden="false" customHeight="true" outlineLevel="0" collapsed="false">
      <c r="G681" s="54"/>
    </row>
    <row r="682" customFormat="false" ht="15.75" hidden="false" customHeight="true" outlineLevel="0" collapsed="false">
      <c r="G682" s="54"/>
    </row>
    <row r="683" customFormat="false" ht="15.75" hidden="false" customHeight="true" outlineLevel="0" collapsed="false">
      <c r="G683" s="54"/>
    </row>
    <row r="684" customFormat="false" ht="15.75" hidden="false" customHeight="true" outlineLevel="0" collapsed="false">
      <c r="G684" s="54"/>
    </row>
    <row r="685" customFormat="false" ht="15.75" hidden="false" customHeight="true" outlineLevel="0" collapsed="false">
      <c r="G685" s="54"/>
    </row>
    <row r="686" customFormat="false" ht="15.75" hidden="false" customHeight="true" outlineLevel="0" collapsed="false">
      <c r="G686" s="54"/>
    </row>
    <row r="687" customFormat="false" ht="15.75" hidden="false" customHeight="true" outlineLevel="0" collapsed="false">
      <c r="G687" s="54"/>
    </row>
    <row r="688" customFormat="false" ht="15.75" hidden="false" customHeight="true" outlineLevel="0" collapsed="false">
      <c r="G688" s="54"/>
    </row>
    <row r="689" customFormat="false" ht="15.75" hidden="false" customHeight="true" outlineLevel="0" collapsed="false">
      <c r="G689" s="54"/>
    </row>
    <row r="690" customFormat="false" ht="15.75" hidden="false" customHeight="true" outlineLevel="0" collapsed="false">
      <c r="G690" s="54"/>
    </row>
    <row r="691" customFormat="false" ht="15.75" hidden="false" customHeight="true" outlineLevel="0" collapsed="false">
      <c r="G691" s="54"/>
    </row>
    <row r="692" customFormat="false" ht="15.75" hidden="false" customHeight="true" outlineLevel="0" collapsed="false">
      <c r="G692" s="54"/>
    </row>
    <row r="693" customFormat="false" ht="15.75" hidden="false" customHeight="true" outlineLevel="0" collapsed="false">
      <c r="G693" s="54"/>
    </row>
    <row r="694" customFormat="false" ht="15.75" hidden="false" customHeight="true" outlineLevel="0" collapsed="false">
      <c r="G694" s="54"/>
    </row>
    <row r="695" customFormat="false" ht="15.75" hidden="false" customHeight="true" outlineLevel="0" collapsed="false">
      <c r="G695" s="54"/>
    </row>
    <row r="696" customFormat="false" ht="15.75" hidden="false" customHeight="true" outlineLevel="0" collapsed="false">
      <c r="G696" s="54"/>
    </row>
    <row r="697" customFormat="false" ht="15.75" hidden="false" customHeight="true" outlineLevel="0" collapsed="false">
      <c r="G697" s="54"/>
    </row>
    <row r="698" customFormat="false" ht="15.75" hidden="false" customHeight="true" outlineLevel="0" collapsed="false">
      <c r="G698" s="54"/>
    </row>
    <row r="699" customFormat="false" ht="15.75" hidden="false" customHeight="true" outlineLevel="0" collapsed="false">
      <c r="G699" s="54"/>
    </row>
    <row r="700" customFormat="false" ht="15.75" hidden="false" customHeight="true" outlineLevel="0" collapsed="false">
      <c r="G700" s="54"/>
    </row>
    <row r="701" customFormat="false" ht="15.75" hidden="false" customHeight="true" outlineLevel="0" collapsed="false">
      <c r="G701" s="54"/>
    </row>
    <row r="702" customFormat="false" ht="15.75" hidden="false" customHeight="true" outlineLevel="0" collapsed="false">
      <c r="G702" s="54"/>
    </row>
    <row r="703" customFormat="false" ht="15.75" hidden="false" customHeight="true" outlineLevel="0" collapsed="false">
      <c r="G703" s="54"/>
    </row>
    <row r="704" customFormat="false" ht="15.75" hidden="false" customHeight="true" outlineLevel="0" collapsed="false">
      <c r="G704" s="54"/>
    </row>
    <row r="705" customFormat="false" ht="15.75" hidden="false" customHeight="true" outlineLevel="0" collapsed="false">
      <c r="G705" s="54"/>
    </row>
    <row r="706" customFormat="false" ht="15.75" hidden="false" customHeight="true" outlineLevel="0" collapsed="false">
      <c r="G706" s="54"/>
    </row>
    <row r="707" customFormat="false" ht="15.75" hidden="false" customHeight="true" outlineLevel="0" collapsed="false">
      <c r="G707" s="54"/>
    </row>
    <row r="708" customFormat="false" ht="15.75" hidden="false" customHeight="true" outlineLevel="0" collapsed="false">
      <c r="G708" s="54"/>
    </row>
    <row r="709" customFormat="false" ht="15.75" hidden="false" customHeight="true" outlineLevel="0" collapsed="false">
      <c r="G709" s="54"/>
    </row>
    <row r="710" customFormat="false" ht="15.75" hidden="false" customHeight="true" outlineLevel="0" collapsed="false">
      <c r="G710" s="54"/>
    </row>
    <row r="711" customFormat="false" ht="15.75" hidden="false" customHeight="true" outlineLevel="0" collapsed="false">
      <c r="G711" s="54"/>
    </row>
    <row r="712" customFormat="false" ht="15.75" hidden="false" customHeight="true" outlineLevel="0" collapsed="false">
      <c r="G712" s="54"/>
    </row>
    <row r="713" customFormat="false" ht="15.75" hidden="false" customHeight="true" outlineLevel="0" collapsed="false">
      <c r="G713" s="54"/>
    </row>
    <row r="714" customFormat="false" ht="15.75" hidden="false" customHeight="true" outlineLevel="0" collapsed="false">
      <c r="G714" s="54"/>
    </row>
    <row r="715" customFormat="false" ht="15.75" hidden="false" customHeight="true" outlineLevel="0" collapsed="false">
      <c r="G715" s="54"/>
    </row>
    <row r="716" customFormat="false" ht="15.75" hidden="false" customHeight="true" outlineLevel="0" collapsed="false">
      <c r="G716" s="54"/>
    </row>
    <row r="717" customFormat="false" ht="15.75" hidden="false" customHeight="true" outlineLevel="0" collapsed="false">
      <c r="G717" s="54"/>
    </row>
    <row r="718" customFormat="false" ht="15.75" hidden="false" customHeight="true" outlineLevel="0" collapsed="false">
      <c r="G718" s="54"/>
    </row>
    <row r="719" customFormat="false" ht="15.75" hidden="false" customHeight="true" outlineLevel="0" collapsed="false">
      <c r="G719" s="54"/>
    </row>
    <row r="720" customFormat="false" ht="15.75" hidden="false" customHeight="true" outlineLevel="0" collapsed="false">
      <c r="G720" s="54"/>
    </row>
    <row r="721" customFormat="false" ht="15.75" hidden="false" customHeight="true" outlineLevel="0" collapsed="false">
      <c r="G721" s="54"/>
    </row>
    <row r="722" customFormat="false" ht="15.75" hidden="false" customHeight="true" outlineLevel="0" collapsed="false">
      <c r="G722" s="54"/>
    </row>
    <row r="723" customFormat="false" ht="15.75" hidden="false" customHeight="true" outlineLevel="0" collapsed="false">
      <c r="G723" s="54"/>
    </row>
    <row r="724" customFormat="false" ht="15.75" hidden="false" customHeight="true" outlineLevel="0" collapsed="false">
      <c r="G724" s="54"/>
    </row>
    <row r="725" customFormat="false" ht="15.75" hidden="false" customHeight="true" outlineLevel="0" collapsed="false">
      <c r="G725" s="54"/>
    </row>
    <row r="726" customFormat="false" ht="15.75" hidden="false" customHeight="true" outlineLevel="0" collapsed="false">
      <c r="G726" s="54"/>
    </row>
    <row r="727" customFormat="false" ht="15.75" hidden="false" customHeight="true" outlineLevel="0" collapsed="false">
      <c r="G727" s="54"/>
    </row>
    <row r="728" customFormat="false" ht="15.75" hidden="false" customHeight="true" outlineLevel="0" collapsed="false">
      <c r="G728" s="54"/>
    </row>
    <row r="729" customFormat="false" ht="15.75" hidden="false" customHeight="true" outlineLevel="0" collapsed="false">
      <c r="G729" s="54"/>
    </row>
    <row r="730" customFormat="false" ht="15.75" hidden="false" customHeight="true" outlineLevel="0" collapsed="false">
      <c r="G730" s="54"/>
    </row>
    <row r="731" customFormat="false" ht="15.75" hidden="false" customHeight="true" outlineLevel="0" collapsed="false">
      <c r="G731" s="54"/>
    </row>
    <row r="732" customFormat="false" ht="15.75" hidden="false" customHeight="true" outlineLevel="0" collapsed="false">
      <c r="G732" s="54"/>
    </row>
    <row r="733" customFormat="false" ht="15.75" hidden="false" customHeight="true" outlineLevel="0" collapsed="false">
      <c r="G733" s="54"/>
    </row>
    <row r="734" customFormat="false" ht="15.75" hidden="false" customHeight="true" outlineLevel="0" collapsed="false">
      <c r="G734" s="54"/>
    </row>
    <row r="735" customFormat="false" ht="15.75" hidden="false" customHeight="true" outlineLevel="0" collapsed="false">
      <c r="G735" s="54"/>
    </row>
    <row r="736" customFormat="false" ht="15.75" hidden="false" customHeight="true" outlineLevel="0" collapsed="false">
      <c r="G736" s="54"/>
    </row>
    <row r="737" customFormat="false" ht="15.75" hidden="false" customHeight="true" outlineLevel="0" collapsed="false">
      <c r="G737" s="54"/>
    </row>
    <row r="738" customFormat="false" ht="15.75" hidden="false" customHeight="true" outlineLevel="0" collapsed="false">
      <c r="G738" s="54"/>
    </row>
    <row r="739" customFormat="false" ht="15.75" hidden="false" customHeight="true" outlineLevel="0" collapsed="false">
      <c r="G739" s="54"/>
    </row>
    <row r="740" customFormat="false" ht="15.75" hidden="false" customHeight="true" outlineLevel="0" collapsed="false">
      <c r="G740" s="54"/>
    </row>
    <row r="741" customFormat="false" ht="15.75" hidden="false" customHeight="true" outlineLevel="0" collapsed="false">
      <c r="G741" s="54"/>
    </row>
    <row r="742" customFormat="false" ht="15.75" hidden="false" customHeight="true" outlineLevel="0" collapsed="false">
      <c r="G742" s="54"/>
    </row>
    <row r="743" customFormat="false" ht="15.75" hidden="false" customHeight="true" outlineLevel="0" collapsed="false">
      <c r="G743" s="54"/>
    </row>
    <row r="744" customFormat="false" ht="15.75" hidden="false" customHeight="true" outlineLevel="0" collapsed="false">
      <c r="G744" s="54"/>
    </row>
    <row r="745" customFormat="false" ht="15.75" hidden="false" customHeight="true" outlineLevel="0" collapsed="false">
      <c r="G745" s="54"/>
    </row>
    <row r="746" customFormat="false" ht="15.75" hidden="false" customHeight="true" outlineLevel="0" collapsed="false">
      <c r="G746" s="54"/>
    </row>
    <row r="747" customFormat="false" ht="15.75" hidden="false" customHeight="true" outlineLevel="0" collapsed="false">
      <c r="G747" s="54"/>
    </row>
    <row r="748" customFormat="false" ht="15.75" hidden="false" customHeight="true" outlineLevel="0" collapsed="false">
      <c r="G748" s="54"/>
    </row>
    <row r="749" customFormat="false" ht="15.75" hidden="false" customHeight="true" outlineLevel="0" collapsed="false">
      <c r="G749" s="54"/>
    </row>
    <row r="750" customFormat="false" ht="15.75" hidden="false" customHeight="true" outlineLevel="0" collapsed="false">
      <c r="G750" s="54"/>
    </row>
    <row r="751" customFormat="false" ht="15.75" hidden="false" customHeight="true" outlineLevel="0" collapsed="false">
      <c r="G751" s="54"/>
    </row>
    <row r="752" customFormat="false" ht="15.75" hidden="false" customHeight="true" outlineLevel="0" collapsed="false">
      <c r="G752" s="54"/>
    </row>
    <row r="753" customFormat="false" ht="15.75" hidden="false" customHeight="true" outlineLevel="0" collapsed="false">
      <c r="G753" s="54"/>
    </row>
    <row r="754" customFormat="false" ht="15.75" hidden="false" customHeight="true" outlineLevel="0" collapsed="false">
      <c r="G754" s="54"/>
    </row>
    <row r="755" customFormat="false" ht="15.75" hidden="false" customHeight="true" outlineLevel="0" collapsed="false">
      <c r="G755" s="54"/>
    </row>
    <row r="756" customFormat="false" ht="15.75" hidden="false" customHeight="true" outlineLevel="0" collapsed="false">
      <c r="G756" s="54"/>
    </row>
    <row r="757" customFormat="false" ht="15.75" hidden="false" customHeight="true" outlineLevel="0" collapsed="false">
      <c r="G757" s="54"/>
    </row>
    <row r="758" customFormat="false" ht="15.75" hidden="false" customHeight="true" outlineLevel="0" collapsed="false">
      <c r="G758" s="54"/>
    </row>
    <row r="759" customFormat="false" ht="15.75" hidden="false" customHeight="true" outlineLevel="0" collapsed="false">
      <c r="G759" s="54"/>
    </row>
    <row r="760" customFormat="false" ht="15.75" hidden="false" customHeight="true" outlineLevel="0" collapsed="false">
      <c r="G760" s="54"/>
    </row>
    <row r="761" customFormat="false" ht="15.75" hidden="false" customHeight="true" outlineLevel="0" collapsed="false">
      <c r="G761" s="54"/>
    </row>
    <row r="762" customFormat="false" ht="15.75" hidden="false" customHeight="true" outlineLevel="0" collapsed="false">
      <c r="G762" s="54"/>
    </row>
    <row r="763" customFormat="false" ht="15.75" hidden="false" customHeight="true" outlineLevel="0" collapsed="false">
      <c r="G763" s="54"/>
    </row>
    <row r="764" customFormat="false" ht="15.75" hidden="false" customHeight="true" outlineLevel="0" collapsed="false">
      <c r="G764" s="54"/>
    </row>
    <row r="765" customFormat="false" ht="15.75" hidden="false" customHeight="true" outlineLevel="0" collapsed="false">
      <c r="G765" s="54"/>
    </row>
    <row r="766" customFormat="false" ht="15.75" hidden="false" customHeight="true" outlineLevel="0" collapsed="false">
      <c r="G766" s="54"/>
    </row>
    <row r="767" customFormat="false" ht="15.75" hidden="false" customHeight="true" outlineLevel="0" collapsed="false">
      <c r="G767" s="54"/>
    </row>
    <row r="768" customFormat="false" ht="15.75" hidden="false" customHeight="true" outlineLevel="0" collapsed="false">
      <c r="G768" s="54"/>
    </row>
    <row r="769" customFormat="false" ht="15.75" hidden="false" customHeight="true" outlineLevel="0" collapsed="false">
      <c r="G769" s="54"/>
    </row>
    <row r="770" customFormat="false" ht="15.75" hidden="false" customHeight="true" outlineLevel="0" collapsed="false">
      <c r="G770" s="54"/>
    </row>
    <row r="771" customFormat="false" ht="15.75" hidden="false" customHeight="true" outlineLevel="0" collapsed="false">
      <c r="G771" s="54"/>
    </row>
    <row r="772" customFormat="false" ht="15.75" hidden="false" customHeight="true" outlineLevel="0" collapsed="false">
      <c r="G772" s="54"/>
    </row>
    <row r="773" customFormat="false" ht="15.75" hidden="false" customHeight="true" outlineLevel="0" collapsed="false">
      <c r="G773" s="54"/>
    </row>
    <row r="774" customFormat="false" ht="15.75" hidden="false" customHeight="true" outlineLevel="0" collapsed="false">
      <c r="G774" s="54"/>
    </row>
    <row r="775" customFormat="false" ht="15.75" hidden="false" customHeight="true" outlineLevel="0" collapsed="false">
      <c r="G775" s="54"/>
    </row>
    <row r="776" customFormat="false" ht="15.75" hidden="false" customHeight="true" outlineLevel="0" collapsed="false">
      <c r="G776" s="54"/>
    </row>
    <row r="777" customFormat="false" ht="15.75" hidden="false" customHeight="true" outlineLevel="0" collapsed="false">
      <c r="G777" s="54"/>
    </row>
    <row r="778" customFormat="false" ht="15.75" hidden="false" customHeight="true" outlineLevel="0" collapsed="false">
      <c r="G778" s="54"/>
    </row>
    <row r="779" customFormat="false" ht="15.75" hidden="false" customHeight="true" outlineLevel="0" collapsed="false">
      <c r="G779" s="54"/>
    </row>
    <row r="780" customFormat="false" ht="15.75" hidden="false" customHeight="true" outlineLevel="0" collapsed="false">
      <c r="G780" s="54"/>
    </row>
    <row r="781" customFormat="false" ht="15.75" hidden="false" customHeight="true" outlineLevel="0" collapsed="false">
      <c r="G781" s="54"/>
    </row>
    <row r="782" customFormat="false" ht="15.75" hidden="false" customHeight="true" outlineLevel="0" collapsed="false">
      <c r="G782" s="54"/>
    </row>
    <row r="783" customFormat="false" ht="15.75" hidden="false" customHeight="true" outlineLevel="0" collapsed="false">
      <c r="G783" s="54"/>
    </row>
    <row r="784" customFormat="false" ht="15.75" hidden="false" customHeight="true" outlineLevel="0" collapsed="false">
      <c r="G784" s="54"/>
    </row>
    <row r="785" customFormat="false" ht="15.75" hidden="false" customHeight="true" outlineLevel="0" collapsed="false">
      <c r="G785" s="54"/>
    </row>
    <row r="786" customFormat="false" ht="15.75" hidden="false" customHeight="true" outlineLevel="0" collapsed="false">
      <c r="G786" s="54"/>
    </row>
    <row r="787" customFormat="false" ht="15.75" hidden="false" customHeight="true" outlineLevel="0" collapsed="false">
      <c r="G787" s="54"/>
    </row>
    <row r="788" customFormat="false" ht="15.75" hidden="false" customHeight="true" outlineLevel="0" collapsed="false">
      <c r="G788" s="54"/>
    </row>
    <row r="789" customFormat="false" ht="15.75" hidden="false" customHeight="true" outlineLevel="0" collapsed="false">
      <c r="G789" s="54"/>
    </row>
    <row r="790" customFormat="false" ht="15.75" hidden="false" customHeight="true" outlineLevel="0" collapsed="false">
      <c r="G790" s="54"/>
    </row>
    <row r="791" customFormat="false" ht="15.75" hidden="false" customHeight="true" outlineLevel="0" collapsed="false">
      <c r="G791" s="54"/>
    </row>
    <row r="792" customFormat="false" ht="15.75" hidden="false" customHeight="true" outlineLevel="0" collapsed="false">
      <c r="G792" s="54"/>
    </row>
    <row r="793" customFormat="false" ht="15.75" hidden="false" customHeight="true" outlineLevel="0" collapsed="false">
      <c r="G793" s="54"/>
    </row>
    <row r="794" customFormat="false" ht="15.75" hidden="false" customHeight="true" outlineLevel="0" collapsed="false">
      <c r="G794" s="54"/>
    </row>
    <row r="795" customFormat="false" ht="15.75" hidden="false" customHeight="true" outlineLevel="0" collapsed="false">
      <c r="G795" s="54"/>
    </row>
    <row r="796" customFormat="false" ht="15.75" hidden="false" customHeight="true" outlineLevel="0" collapsed="false">
      <c r="G796" s="54"/>
    </row>
    <row r="797" customFormat="false" ht="15.75" hidden="false" customHeight="true" outlineLevel="0" collapsed="false">
      <c r="G797" s="54"/>
    </row>
    <row r="798" customFormat="false" ht="15.75" hidden="false" customHeight="true" outlineLevel="0" collapsed="false">
      <c r="G798" s="54"/>
    </row>
    <row r="799" customFormat="false" ht="15.75" hidden="false" customHeight="true" outlineLevel="0" collapsed="false">
      <c r="G799" s="54"/>
    </row>
    <row r="800" customFormat="false" ht="15.75" hidden="false" customHeight="true" outlineLevel="0" collapsed="false">
      <c r="G800" s="54"/>
    </row>
    <row r="801" customFormat="false" ht="15.75" hidden="false" customHeight="true" outlineLevel="0" collapsed="false">
      <c r="G801" s="54"/>
    </row>
    <row r="802" customFormat="false" ht="15.75" hidden="false" customHeight="true" outlineLevel="0" collapsed="false">
      <c r="G802" s="54"/>
    </row>
    <row r="803" customFormat="false" ht="15.75" hidden="false" customHeight="true" outlineLevel="0" collapsed="false">
      <c r="G803" s="54"/>
    </row>
    <row r="804" customFormat="false" ht="15.75" hidden="false" customHeight="true" outlineLevel="0" collapsed="false">
      <c r="G804" s="54"/>
    </row>
    <row r="805" customFormat="false" ht="15.75" hidden="false" customHeight="true" outlineLevel="0" collapsed="false">
      <c r="G805" s="54"/>
    </row>
    <row r="806" customFormat="false" ht="15.75" hidden="false" customHeight="true" outlineLevel="0" collapsed="false">
      <c r="G806" s="54"/>
    </row>
    <row r="807" customFormat="false" ht="15.75" hidden="false" customHeight="true" outlineLevel="0" collapsed="false">
      <c r="G807" s="54"/>
    </row>
    <row r="808" customFormat="false" ht="15.75" hidden="false" customHeight="true" outlineLevel="0" collapsed="false">
      <c r="G808" s="54"/>
    </row>
    <row r="809" customFormat="false" ht="15.75" hidden="false" customHeight="true" outlineLevel="0" collapsed="false">
      <c r="G809" s="54"/>
    </row>
    <row r="810" customFormat="false" ht="15.75" hidden="false" customHeight="true" outlineLevel="0" collapsed="false">
      <c r="G810" s="54"/>
    </row>
    <row r="811" customFormat="false" ht="15.75" hidden="false" customHeight="true" outlineLevel="0" collapsed="false">
      <c r="G811" s="54"/>
    </row>
    <row r="812" customFormat="false" ht="15.75" hidden="false" customHeight="true" outlineLevel="0" collapsed="false">
      <c r="G812" s="54"/>
    </row>
    <row r="813" customFormat="false" ht="15.75" hidden="false" customHeight="true" outlineLevel="0" collapsed="false">
      <c r="G813" s="54"/>
    </row>
    <row r="814" customFormat="false" ht="15.75" hidden="false" customHeight="true" outlineLevel="0" collapsed="false">
      <c r="G814" s="54"/>
    </row>
    <row r="815" customFormat="false" ht="15.75" hidden="false" customHeight="true" outlineLevel="0" collapsed="false">
      <c r="G815" s="54"/>
    </row>
    <row r="816" customFormat="false" ht="15.75" hidden="false" customHeight="true" outlineLevel="0" collapsed="false">
      <c r="G816" s="54"/>
    </row>
    <row r="817" customFormat="false" ht="15.75" hidden="false" customHeight="true" outlineLevel="0" collapsed="false">
      <c r="G817" s="54"/>
    </row>
    <row r="818" customFormat="false" ht="15.75" hidden="false" customHeight="true" outlineLevel="0" collapsed="false">
      <c r="G818" s="54"/>
    </row>
    <row r="819" customFormat="false" ht="15.75" hidden="false" customHeight="true" outlineLevel="0" collapsed="false">
      <c r="G819" s="54"/>
    </row>
    <row r="820" customFormat="false" ht="15.75" hidden="false" customHeight="true" outlineLevel="0" collapsed="false">
      <c r="G820" s="54"/>
    </row>
    <row r="821" customFormat="false" ht="15.75" hidden="false" customHeight="true" outlineLevel="0" collapsed="false">
      <c r="G821" s="54"/>
    </row>
    <row r="822" customFormat="false" ht="15.75" hidden="false" customHeight="true" outlineLevel="0" collapsed="false">
      <c r="G822" s="54"/>
    </row>
    <row r="823" customFormat="false" ht="15.75" hidden="false" customHeight="true" outlineLevel="0" collapsed="false">
      <c r="G823" s="54"/>
    </row>
    <row r="824" customFormat="false" ht="15.75" hidden="false" customHeight="true" outlineLevel="0" collapsed="false">
      <c r="G824" s="54"/>
    </row>
    <row r="825" customFormat="false" ht="15.75" hidden="false" customHeight="true" outlineLevel="0" collapsed="false">
      <c r="G825" s="54"/>
    </row>
    <row r="826" customFormat="false" ht="15.75" hidden="false" customHeight="true" outlineLevel="0" collapsed="false">
      <c r="G826" s="54"/>
    </row>
    <row r="827" customFormat="false" ht="15.75" hidden="false" customHeight="true" outlineLevel="0" collapsed="false">
      <c r="G827" s="54"/>
    </row>
    <row r="828" customFormat="false" ht="15.75" hidden="false" customHeight="true" outlineLevel="0" collapsed="false">
      <c r="G828" s="54"/>
    </row>
    <row r="829" customFormat="false" ht="15.75" hidden="false" customHeight="true" outlineLevel="0" collapsed="false">
      <c r="G829" s="54"/>
    </row>
    <row r="830" customFormat="false" ht="15.75" hidden="false" customHeight="true" outlineLevel="0" collapsed="false">
      <c r="G830" s="54"/>
    </row>
    <row r="831" customFormat="false" ht="15.75" hidden="false" customHeight="true" outlineLevel="0" collapsed="false">
      <c r="G831" s="54"/>
    </row>
    <row r="832" customFormat="false" ht="15.75" hidden="false" customHeight="true" outlineLevel="0" collapsed="false">
      <c r="G832" s="54"/>
    </row>
    <row r="833" customFormat="false" ht="15.75" hidden="false" customHeight="true" outlineLevel="0" collapsed="false">
      <c r="G833" s="54"/>
    </row>
    <row r="834" customFormat="false" ht="15.75" hidden="false" customHeight="true" outlineLevel="0" collapsed="false">
      <c r="G834" s="54"/>
    </row>
    <row r="835" customFormat="false" ht="15.75" hidden="false" customHeight="true" outlineLevel="0" collapsed="false">
      <c r="G835" s="54"/>
    </row>
    <row r="836" customFormat="false" ht="15.75" hidden="false" customHeight="true" outlineLevel="0" collapsed="false">
      <c r="G836" s="54"/>
    </row>
    <row r="837" customFormat="false" ht="15.75" hidden="false" customHeight="true" outlineLevel="0" collapsed="false">
      <c r="G837" s="54"/>
    </row>
    <row r="838" customFormat="false" ht="15.75" hidden="false" customHeight="true" outlineLevel="0" collapsed="false">
      <c r="G838" s="54"/>
    </row>
    <row r="839" customFormat="false" ht="15.75" hidden="false" customHeight="true" outlineLevel="0" collapsed="false">
      <c r="G839" s="54"/>
    </row>
    <row r="840" customFormat="false" ht="15.75" hidden="false" customHeight="true" outlineLevel="0" collapsed="false">
      <c r="G840" s="54"/>
    </row>
    <row r="841" customFormat="false" ht="15.75" hidden="false" customHeight="true" outlineLevel="0" collapsed="false">
      <c r="G841" s="54"/>
    </row>
    <row r="842" customFormat="false" ht="15.75" hidden="false" customHeight="true" outlineLevel="0" collapsed="false">
      <c r="G842" s="54"/>
    </row>
    <row r="843" customFormat="false" ht="15.75" hidden="false" customHeight="true" outlineLevel="0" collapsed="false">
      <c r="G843" s="54"/>
    </row>
    <row r="844" customFormat="false" ht="15.75" hidden="false" customHeight="true" outlineLevel="0" collapsed="false">
      <c r="G844" s="54"/>
    </row>
    <row r="845" customFormat="false" ht="15.75" hidden="false" customHeight="true" outlineLevel="0" collapsed="false">
      <c r="G845" s="54"/>
    </row>
    <row r="846" customFormat="false" ht="15.75" hidden="false" customHeight="true" outlineLevel="0" collapsed="false">
      <c r="G846" s="54"/>
    </row>
    <row r="847" customFormat="false" ht="15.75" hidden="false" customHeight="true" outlineLevel="0" collapsed="false">
      <c r="G847" s="54"/>
    </row>
    <row r="848" customFormat="false" ht="15.75" hidden="false" customHeight="true" outlineLevel="0" collapsed="false">
      <c r="G848" s="54"/>
    </row>
    <row r="849" customFormat="false" ht="15.75" hidden="false" customHeight="true" outlineLevel="0" collapsed="false">
      <c r="G849" s="54"/>
    </row>
    <row r="850" customFormat="false" ht="15.75" hidden="false" customHeight="true" outlineLevel="0" collapsed="false">
      <c r="G850" s="54"/>
    </row>
    <row r="851" customFormat="false" ht="15.75" hidden="false" customHeight="true" outlineLevel="0" collapsed="false">
      <c r="G851" s="54"/>
    </row>
    <row r="852" customFormat="false" ht="15.75" hidden="false" customHeight="true" outlineLevel="0" collapsed="false">
      <c r="G852" s="54"/>
    </row>
    <row r="853" customFormat="false" ht="15.75" hidden="false" customHeight="true" outlineLevel="0" collapsed="false">
      <c r="G853" s="54"/>
    </row>
    <row r="854" customFormat="false" ht="15.75" hidden="false" customHeight="true" outlineLevel="0" collapsed="false">
      <c r="G854" s="54"/>
    </row>
    <row r="855" customFormat="false" ht="15.75" hidden="false" customHeight="true" outlineLevel="0" collapsed="false">
      <c r="G855" s="54"/>
    </row>
    <row r="856" customFormat="false" ht="15.75" hidden="false" customHeight="true" outlineLevel="0" collapsed="false">
      <c r="G856" s="54"/>
    </row>
    <row r="857" customFormat="false" ht="15.75" hidden="false" customHeight="true" outlineLevel="0" collapsed="false">
      <c r="G857" s="54"/>
    </row>
    <row r="858" customFormat="false" ht="15.75" hidden="false" customHeight="true" outlineLevel="0" collapsed="false">
      <c r="G858" s="54"/>
    </row>
    <row r="859" customFormat="false" ht="15.75" hidden="false" customHeight="true" outlineLevel="0" collapsed="false">
      <c r="G859" s="54"/>
    </row>
    <row r="860" customFormat="false" ht="15.75" hidden="false" customHeight="true" outlineLevel="0" collapsed="false">
      <c r="G860" s="54"/>
    </row>
    <row r="861" customFormat="false" ht="15.75" hidden="false" customHeight="true" outlineLevel="0" collapsed="false">
      <c r="G861" s="54"/>
    </row>
    <row r="862" customFormat="false" ht="15.75" hidden="false" customHeight="true" outlineLevel="0" collapsed="false">
      <c r="G862" s="54"/>
    </row>
    <row r="863" customFormat="false" ht="15.75" hidden="false" customHeight="true" outlineLevel="0" collapsed="false">
      <c r="G863" s="54"/>
    </row>
    <row r="864" customFormat="false" ht="15.75" hidden="false" customHeight="true" outlineLevel="0" collapsed="false">
      <c r="G864" s="54"/>
    </row>
    <row r="865" customFormat="false" ht="15.75" hidden="false" customHeight="true" outlineLevel="0" collapsed="false">
      <c r="G865" s="54"/>
    </row>
    <row r="866" customFormat="false" ht="15.75" hidden="false" customHeight="true" outlineLevel="0" collapsed="false">
      <c r="G866" s="54"/>
    </row>
    <row r="867" customFormat="false" ht="15.75" hidden="false" customHeight="true" outlineLevel="0" collapsed="false">
      <c r="G867" s="54"/>
    </row>
    <row r="868" customFormat="false" ht="15.75" hidden="false" customHeight="true" outlineLevel="0" collapsed="false">
      <c r="G868" s="54"/>
    </row>
    <row r="869" customFormat="false" ht="15.75" hidden="false" customHeight="true" outlineLevel="0" collapsed="false">
      <c r="G869" s="54"/>
    </row>
    <row r="870" customFormat="false" ht="15.75" hidden="false" customHeight="true" outlineLevel="0" collapsed="false">
      <c r="G870" s="54"/>
    </row>
    <row r="871" customFormat="false" ht="15.75" hidden="false" customHeight="true" outlineLevel="0" collapsed="false">
      <c r="G871" s="54"/>
    </row>
    <row r="872" customFormat="false" ht="15.75" hidden="false" customHeight="true" outlineLevel="0" collapsed="false">
      <c r="G872" s="54"/>
    </row>
    <row r="873" customFormat="false" ht="15.75" hidden="false" customHeight="true" outlineLevel="0" collapsed="false">
      <c r="G873" s="54"/>
    </row>
    <row r="874" customFormat="false" ht="15.75" hidden="false" customHeight="true" outlineLevel="0" collapsed="false">
      <c r="G874" s="54"/>
    </row>
    <row r="875" customFormat="false" ht="15.75" hidden="false" customHeight="true" outlineLevel="0" collapsed="false">
      <c r="G875" s="54"/>
    </row>
    <row r="876" customFormat="false" ht="15.75" hidden="false" customHeight="true" outlineLevel="0" collapsed="false">
      <c r="G876" s="54"/>
    </row>
    <row r="877" customFormat="false" ht="15.75" hidden="false" customHeight="true" outlineLevel="0" collapsed="false">
      <c r="G877" s="54"/>
    </row>
    <row r="878" customFormat="false" ht="15.75" hidden="false" customHeight="true" outlineLevel="0" collapsed="false">
      <c r="G878" s="54"/>
    </row>
    <row r="879" customFormat="false" ht="15.75" hidden="false" customHeight="true" outlineLevel="0" collapsed="false">
      <c r="G879" s="54"/>
    </row>
    <row r="880" customFormat="false" ht="15.75" hidden="false" customHeight="true" outlineLevel="0" collapsed="false">
      <c r="G880" s="54"/>
    </row>
    <row r="881" customFormat="false" ht="15.75" hidden="false" customHeight="true" outlineLevel="0" collapsed="false">
      <c r="G881" s="54"/>
    </row>
    <row r="882" customFormat="false" ht="15.75" hidden="false" customHeight="true" outlineLevel="0" collapsed="false">
      <c r="G882" s="54"/>
    </row>
    <row r="883" customFormat="false" ht="15.75" hidden="false" customHeight="true" outlineLevel="0" collapsed="false">
      <c r="G883" s="54"/>
    </row>
    <row r="884" customFormat="false" ht="15.75" hidden="false" customHeight="true" outlineLevel="0" collapsed="false">
      <c r="G884" s="54"/>
    </row>
    <row r="885" customFormat="false" ht="15.75" hidden="false" customHeight="true" outlineLevel="0" collapsed="false">
      <c r="G885" s="54"/>
    </row>
    <row r="886" customFormat="false" ht="15.75" hidden="false" customHeight="true" outlineLevel="0" collapsed="false">
      <c r="G886" s="54"/>
    </row>
    <row r="887" customFormat="false" ht="15.75" hidden="false" customHeight="true" outlineLevel="0" collapsed="false">
      <c r="G887" s="54"/>
    </row>
    <row r="888" customFormat="false" ht="15.75" hidden="false" customHeight="true" outlineLevel="0" collapsed="false">
      <c r="G888" s="54"/>
    </row>
    <row r="889" customFormat="false" ht="15.75" hidden="false" customHeight="true" outlineLevel="0" collapsed="false">
      <c r="G889" s="54"/>
    </row>
    <row r="890" customFormat="false" ht="15.75" hidden="false" customHeight="true" outlineLevel="0" collapsed="false">
      <c r="G890" s="54"/>
    </row>
    <row r="891" customFormat="false" ht="15.75" hidden="false" customHeight="true" outlineLevel="0" collapsed="false">
      <c r="G891" s="54"/>
    </row>
    <row r="892" customFormat="false" ht="15.75" hidden="false" customHeight="true" outlineLevel="0" collapsed="false">
      <c r="G892" s="54"/>
    </row>
    <row r="893" customFormat="false" ht="15.75" hidden="false" customHeight="true" outlineLevel="0" collapsed="false">
      <c r="G893" s="54"/>
    </row>
    <row r="894" customFormat="false" ht="15.75" hidden="false" customHeight="true" outlineLevel="0" collapsed="false">
      <c r="G894" s="54"/>
    </row>
    <row r="895" customFormat="false" ht="15.75" hidden="false" customHeight="true" outlineLevel="0" collapsed="false">
      <c r="G895" s="54"/>
    </row>
    <row r="896" customFormat="false" ht="15.75" hidden="false" customHeight="true" outlineLevel="0" collapsed="false">
      <c r="G896" s="54"/>
    </row>
    <row r="897" customFormat="false" ht="15.75" hidden="false" customHeight="true" outlineLevel="0" collapsed="false">
      <c r="G897" s="54"/>
    </row>
    <row r="898" customFormat="false" ht="15.75" hidden="false" customHeight="true" outlineLevel="0" collapsed="false">
      <c r="G898" s="54"/>
    </row>
    <row r="899" customFormat="false" ht="15.75" hidden="false" customHeight="true" outlineLevel="0" collapsed="false">
      <c r="G899" s="54"/>
    </row>
    <row r="900" customFormat="false" ht="15.75" hidden="false" customHeight="true" outlineLevel="0" collapsed="false">
      <c r="G900" s="54"/>
    </row>
    <row r="901" customFormat="false" ht="15.75" hidden="false" customHeight="true" outlineLevel="0" collapsed="false">
      <c r="G901" s="54"/>
    </row>
    <row r="902" customFormat="false" ht="15.75" hidden="false" customHeight="true" outlineLevel="0" collapsed="false">
      <c r="G902" s="54"/>
    </row>
    <row r="903" customFormat="false" ht="15.75" hidden="false" customHeight="true" outlineLevel="0" collapsed="false">
      <c r="G903" s="54"/>
    </row>
    <row r="904" customFormat="false" ht="15.75" hidden="false" customHeight="true" outlineLevel="0" collapsed="false">
      <c r="G904" s="54"/>
    </row>
    <row r="905" customFormat="false" ht="15.75" hidden="false" customHeight="true" outlineLevel="0" collapsed="false">
      <c r="G905" s="54"/>
    </row>
    <row r="906" customFormat="false" ht="15.75" hidden="false" customHeight="true" outlineLevel="0" collapsed="false">
      <c r="G906" s="54"/>
    </row>
    <row r="907" customFormat="false" ht="15.75" hidden="false" customHeight="true" outlineLevel="0" collapsed="false">
      <c r="G907" s="54"/>
    </row>
    <row r="908" customFormat="false" ht="15.75" hidden="false" customHeight="true" outlineLevel="0" collapsed="false">
      <c r="G908" s="54"/>
    </row>
    <row r="909" customFormat="false" ht="15.75" hidden="false" customHeight="true" outlineLevel="0" collapsed="false">
      <c r="G909" s="54"/>
    </row>
    <row r="910" customFormat="false" ht="15.75" hidden="false" customHeight="true" outlineLevel="0" collapsed="false">
      <c r="G910" s="54"/>
    </row>
    <row r="911" customFormat="false" ht="15.75" hidden="false" customHeight="true" outlineLevel="0" collapsed="false">
      <c r="G911" s="54"/>
    </row>
    <row r="912" customFormat="false" ht="15.75" hidden="false" customHeight="true" outlineLevel="0" collapsed="false">
      <c r="G912" s="54"/>
    </row>
    <row r="913" customFormat="false" ht="15.75" hidden="false" customHeight="true" outlineLevel="0" collapsed="false">
      <c r="G913" s="54"/>
    </row>
    <row r="914" customFormat="false" ht="15.75" hidden="false" customHeight="true" outlineLevel="0" collapsed="false">
      <c r="G914" s="54"/>
    </row>
    <row r="915" customFormat="false" ht="15.75" hidden="false" customHeight="true" outlineLevel="0" collapsed="false">
      <c r="G915" s="54"/>
    </row>
    <row r="916" customFormat="false" ht="15.75" hidden="false" customHeight="true" outlineLevel="0" collapsed="false">
      <c r="G916" s="54"/>
    </row>
    <row r="917" customFormat="false" ht="15.75" hidden="false" customHeight="true" outlineLevel="0" collapsed="false">
      <c r="G917" s="54"/>
    </row>
    <row r="918" customFormat="false" ht="15.75" hidden="false" customHeight="true" outlineLevel="0" collapsed="false">
      <c r="G918" s="54"/>
    </row>
    <row r="919" customFormat="false" ht="15.75" hidden="false" customHeight="true" outlineLevel="0" collapsed="false">
      <c r="G919" s="54"/>
    </row>
    <row r="920" customFormat="false" ht="15.75" hidden="false" customHeight="true" outlineLevel="0" collapsed="false">
      <c r="G920" s="54"/>
    </row>
    <row r="921" customFormat="false" ht="15.75" hidden="false" customHeight="true" outlineLevel="0" collapsed="false">
      <c r="G921" s="54"/>
    </row>
    <row r="922" customFormat="false" ht="15.75" hidden="false" customHeight="true" outlineLevel="0" collapsed="false">
      <c r="G922" s="54"/>
    </row>
    <row r="923" customFormat="false" ht="15.75" hidden="false" customHeight="true" outlineLevel="0" collapsed="false">
      <c r="G923" s="54"/>
    </row>
    <row r="924" customFormat="false" ht="15.75" hidden="false" customHeight="true" outlineLevel="0" collapsed="false">
      <c r="G924" s="54"/>
    </row>
    <row r="925" customFormat="false" ht="15.75" hidden="false" customHeight="true" outlineLevel="0" collapsed="false">
      <c r="G925" s="54"/>
    </row>
    <row r="926" customFormat="false" ht="15.75" hidden="false" customHeight="true" outlineLevel="0" collapsed="false">
      <c r="G926" s="54"/>
    </row>
    <row r="927" customFormat="false" ht="15.75" hidden="false" customHeight="true" outlineLevel="0" collapsed="false">
      <c r="G927" s="54"/>
    </row>
    <row r="928" customFormat="false" ht="15.75" hidden="false" customHeight="true" outlineLevel="0" collapsed="false">
      <c r="G928" s="54"/>
    </row>
    <row r="929" customFormat="false" ht="15.75" hidden="false" customHeight="true" outlineLevel="0" collapsed="false">
      <c r="G929" s="54"/>
    </row>
    <row r="930" customFormat="false" ht="15.75" hidden="false" customHeight="true" outlineLevel="0" collapsed="false">
      <c r="G930" s="54"/>
    </row>
    <row r="931" customFormat="false" ht="15.75" hidden="false" customHeight="true" outlineLevel="0" collapsed="false">
      <c r="G931" s="54"/>
    </row>
    <row r="932" customFormat="false" ht="15.75" hidden="false" customHeight="true" outlineLevel="0" collapsed="false">
      <c r="G932" s="54"/>
    </row>
    <row r="933" customFormat="false" ht="15.75" hidden="false" customHeight="true" outlineLevel="0" collapsed="false">
      <c r="G933" s="54"/>
    </row>
    <row r="934" customFormat="false" ht="15.75" hidden="false" customHeight="true" outlineLevel="0" collapsed="false">
      <c r="G934" s="54"/>
    </row>
    <row r="935" customFormat="false" ht="15.75" hidden="false" customHeight="true" outlineLevel="0" collapsed="false">
      <c r="G935" s="54"/>
    </row>
    <row r="936" customFormat="false" ht="15.75" hidden="false" customHeight="true" outlineLevel="0" collapsed="false">
      <c r="G936" s="54"/>
    </row>
    <row r="937" customFormat="false" ht="15.75" hidden="false" customHeight="true" outlineLevel="0" collapsed="false">
      <c r="G937" s="54"/>
    </row>
    <row r="938" customFormat="false" ht="15.75" hidden="false" customHeight="true" outlineLevel="0" collapsed="false">
      <c r="G938" s="54"/>
    </row>
    <row r="939" customFormat="false" ht="15.75" hidden="false" customHeight="true" outlineLevel="0" collapsed="false">
      <c r="G939" s="54"/>
    </row>
    <row r="940" customFormat="false" ht="15.75" hidden="false" customHeight="true" outlineLevel="0" collapsed="false">
      <c r="G940" s="54"/>
    </row>
    <row r="941" customFormat="false" ht="15.75" hidden="false" customHeight="true" outlineLevel="0" collapsed="false">
      <c r="G941" s="54"/>
    </row>
    <row r="942" customFormat="false" ht="15.75" hidden="false" customHeight="true" outlineLevel="0" collapsed="false">
      <c r="G942" s="54"/>
    </row>
    <row r="943" customFormat="false" ht="15.75" hidden="false" customHeight="true" outlineLevel="0" collapsed="false">
      <c r="G943" s="54"/>
    </row>
    <row r="944" customFormat="false" ht="15.75" hidden="false" customHeight="true" outlineLevel="0" collapsed="false">
      <c r="G944" s="54"/>
    </row>
    <row r="945" customFormat="false" ht="15.75" hidden="false" customHeight="true" outlineLevel="0" collapsed="false">
      <c r="G945" s="54"/>
    </row>
    <row r="946" customFormat="false" ht="15.75" hidden="false" customHeight="true" outlineLevel="0" collapsed="false">
      <c r="G946" s="54"/>
    </row>
    <row r="947" customFormat="false" ht="15.75" hidden="false" customHeight="true" outlineLevel="0" collapsed="false">
      <c r="G947" s="54"/>
    </row>
    <row r="948" customFormat="false" ht="15.75" hidden="false" customHeight="true" outlineLevel="0" collapsed="false">
      <c r="G948" s="54"/>
    </row>
    <row r="949" customFormat="false" ht="15.75" hidden="false" customHeight="true" outlineLevel="0" collapsed="false">
      <c r="G949" s="54"/>
    </row>
    <row r="950" customFormat="false" ht="15.75" hidden="false" customHeight="true" outlineLevel="0" collapsed="false">
      <c r="G950" s="54"/>
    </row>
    <row r="951" customFormat="false" ht="15.75" hidden="false" customHeight="true" outlineLevel="0" collapsed="false">
      <c r="G951" s="54"/>
    </row>
    <row r="952" customFormat="false" ht="15.75" hidden="false" customHeight="true" outlineLevel="0" collapsed="false">
      <c r="G952" s="54"/>
    </row>
    <row r="953" customFormat="false" ht="15.75" hidden="false" customHeight="true" outlineLevel="0" collapsed="false">
      <c r="G953" s="54"/>
    </row>
    <row r="954" customFormat="false" ht="15.75" hidden="false" customHeight="true" outlineLevel="0" collapsed="false">
      <c r="G954" s="54"/>
    </row>
    <row r="955" customFormat="false" ht="15.75" hidden="false" customHeight="true" outlineLevel="0" collapsed="false">
      <c r="G955" s="54"/>
    </row>
    <row r="956" customFormat="false" ht="15.75" hidden="false" customHeight="true" outlineLevel="0" collapsed="false">
      <c r="G956" s="54"/>
    </row>
    <row r="957" customFormat="false" ht="15.75" hidden="false" customHeight="true" outlineLevel="0" collapsed="false">
      <c r="G957" s="54"/>
    </row>
    <row r="958" customFormat="false" ht="15.75" hidden="false" customHeight="true" outlineLevel="0" collapsed="false">
      <c r="G958" s="54"/>
    </row>
    <row r="959" customFormat="false" ht="15.75" hidden="false" customHeight="true" outlineLevel="0" collapsed="false">
      <c r="G959" s="54"/>
    </row>
    <row r="960" customFormat="false" ht="15.75" hidden="false" customHeight="true" outlineLevel="0" collapsed="false">
      <c r="G960" s="54"/>
    </row>
    <row r="961" customFormat="false" ht="15.75" hidden="false" customHeight="true" outlineLevel="0" collapsed="false">
      <c r="G961" s="54"/>
    </row>
    <row r="962" customFormat="false" ht="15.75" hidden="false" customHeight="true" outlineLevel="0" collapsed="false">
      <c r="G962" s="54"/>
    </row>
    <row r="963" customFormat="false" ht="15.75" hidden="false" customHeight="true" outlineLevel="0" collapsed="false">
      <c r="G963" s="54"/>
    </row>
    <row r="964" customFormat="false" ht="15.75" hidden="false" customHeight="true" outlineLevel="0" collapsed="false">
      <c r="G964" s="54"/>
    </row>
    <row r="965" customFormat="false" ht="15.75" hidden="false" customHeight="true" outlineLevel="0" collapsed="false">
      <c r="G965" s="54"/>
    </row>
    <row r="966" customFormat="false" ht="15.75" hidden="false" customHeight="true" outlineLevel="0" collapsed="false">
      <c r="G966" s="54"/>
    </row>
    <row r="967" customFormat="false" ht="15.75" hidden="false" customHeight="true" outlineLevel="0" collapsed="false">
      <c r="G967" s="54"/>
    </row>
    <row r="968" customFormat="false" ht="15.75" hidden="false" customHeight="true" outlineLevel="0" collapsed="false">
      <c r="G968" s="54"/>
    </row>
    <row r="969" customFormat="false" ht="15.75" hidden="false" customHeight="true" outlineLevel="0" collapsed="false">
      <c r="G969" s="54"/>
    </row>
    <row r="970" customFormat="false" ht="15.75" hidden="false" customHeight="true" outlineLevel="0" collapsed="false">
      <c r="G970" s="54"/>
    </row>
    <row r="971" customFormat="false" ht="15.75" hidden="false" customHeight="true" outlineLevel="0" collapsed="false">
      <c r="G971" s="54"/>
    </row>
    <row r="972" customFormat="false" ht="15.75" hidden="false" customHeight="true" outlineLevel="0" collapsed="false">
      <c r="G972" s="54"/>
    </row>
    <row r="973" customFormat="false" ht="15.75" hidden="false" customHeight="true" outlineLevel="0" collapsed="false">
      <c r="G973" s="54"/>
    </row>
    <row r="974" customFormat="false" ht="15.75" hidden="false" customHeight="true" outlineLevel="0" collapsed="false">
      <c r="G974" s="54"/>
    </row>
    <row r="975" customFormat="false" ht="15.75" hidden="false" customHeight="true" outlineLevel="0" collapsed="false">
      <c r="G975" s="54"/>
    </row>
    <row r="976" customFormat="false" ht="15.75" hidden="false" customHeight="true" outlineLevel="0" collapsed="false">
      <c r="G976" s="54"/>
    </row>
    <row r="977" customFormat="false" ht="15.75" hidden="false" customHeight="true" outlineLevel="0" collapsed="false">
      <c r="G977" s="54"/>
    </row>
    <row r="978" customFormat="false" ht="15.75" hidden="false" customHeight="true" outlineLevel="0" collapsed="false">
      <c r="G978" s="54"/>
    </row>
    <row r="979" customFormat="false" ht="15.75" hidden="false" customHeight="true" outlineLevel="0" collapsed="false">
      <c r="G979" s="54"/>
    </row>
    <row r="980" customFormat="false" ht="15.75" hidden="false" customHeight="true" outlineLevel="0" collapsed="false">
      <c r="G980" s="54"/>
    </row>
    <row r="981" customFormat="false" ht="15.75" hidden="false" customHeight="true" outlineLevel="0" collapsed="false">
      <c r="G981" s="54"/>
    </row>
    <row r="982" customFormat="false" ht="15.75" hidden="false" customHeight="true" outlineLevel="0" collapsed="false">
      <c r="G982" s="54"/>
    </row>
    <row r="983" customFormat="false" ht="15.75" hidden="false" customHeight="true" outlineLevel="0" collapsed="false">
      <c r="G983" s="54"/>
    </row>
    <row r="984" customFormat="false" ht="15.75" hidden="false" customHeight="true" outlineLevel="0" collapsed="false">
      <c r="G984" s="54"/>
    </row>
    <row r="985" customFormat="false" ht="15.75" hidden="false" customHeight="true" outlineLevel="0" collapsed="false">
      <c r="G985" s="54"/>
    </row>
    <row r="986" customFormat="false" ht="15.75" hidden="false" customHeight="true" outlineLevel="0" collapsed="false">
      <c r="G986" s="54"/>
    </row>
    <row r="987" customFormat="false" ht="15.75" hidden="false" customHeight="true" outlineLevel="0" collapsed="false">
      <c r="G987" s="54"/>
    </row>
    <row r="988" customFormat="false" ht="15.75" hidden="false" customHeight="true" outlineLevel="0" collapsed="false">
      <c r="G988" s="54"/>
    </row>
    <row r="989" customFormat="false" ht="15.75" hidden="false" customHeight="true" outlineLevel="0" collapsed="false">
      <c r="G989" s="54"/>
    </row>
    <row r="990" customFormat="false" ht="15.75" hidden="false" customHeight="true" outlineLevel="0" collapsed="false">
      <c r="G990" s="54"/>
    </row>
    <row r="991" customFormat="false" ht="15.75" hidden="false" customHeight="true" outlineLevel="0" collapsed="false">
      <c r="G991" s="54"/>
    </row>
    <row r="992" customFormat="false" ht="15.75" hidden="false" customHeight="true" outlineLevel="0" collapsed="false">
      <c r="G992" s="54"/>
    </row>
    <row r="993" customFormat="false" ht="15" hidden="false" customHeight="false" outlineLevel="0" collapsed="false">
      <c r="G993" s="54"/>
    </row>
    <row r="994" customFormat="false" ht="15" hidden="false" customHeight="false" outlineLevel="0" collapsed="false">
      <c r="G994" s="54"/>
    </row>
    <row r="995" customFormat="false" ht="15" hidden="false" customHeight="false" outlineLevel="0" collapsed="false">
      <c r="G995" s="54"/>
    </row>
    <row r="996" customFormat="false" ht="15" hidden="false" customHeight="false" outlineLevel="0" collapsed="false">
      <c r="G996" s="54"/>
    </row>
    <row r="997" customFormat="false" ht="15" hidden="false" customHeight="false" outlineLevel="0" collapsed="false">
      <c r="G997" s="54"/>
    </row>
    <row r="998" customFormat="false" ht="15" hidden="false" customHeight="false" outlineLevel="0" collapsed="false">
      <c r="G998" s="54"/>
    </row>
    <row r="999" customFormat="false" ht="15" hidden="false" customHeight="false" outlineLevel="0" collapsed="false">
      <c r="G999" s="54"/>
    </row>
    <row r="1000" customFormat="false" ht="15" hidden="false" customHeight="false" outlineLevel="0" collapsed="false">
      <c r="G1000" s="54"/>
    </row>
    <row r="1001" customFormat="false" ht="15" hidden="false" customHeight="false" outlineLevel="0" collapsed="false">
      <c r="G1001" s="54"/>
    </row>
  </sheetData>
  <mergeCells count="22">
    <mergeCell ref="I1:V1"/>
    <mergeCell ref="C3:D3"/>
    <mergeCell ref="E3:F3"/>
    <mergeCell ref="J3:J5"/>
    <mergeCell ref="C4:D4"/>
    <mergeCell ref="E4:F4"/>
    <mergeCell ref="C5:D5"/>
    <mergeCell ref="E5:F5"/>
    <mergeCell ref="C6:D6"/>
    <mergeCell ref="E6:F6"/>
    <mergeCell ref="J6:J11"/>
    <mergeCell ref="C7:D7"/>
    <mergeCell ref="E7:F7"/>
    <mergeCell ref="C8:D8"/>
    <mergeCell ref="E8:F8"/>
    <mergeCell ref="C9:D9"/>
    <mergeCell ref="E9:F9"/>
    <mergeCell ref="C10:D10"/>
    <mergeCell ref="E10:F10"/>
    <mergeCell ref="C11:D11"/>
    <mergeCell ref="E11:F11"/>
    <mergeCell ref="C13:D13"/>
  </mergeCells>
  <conditionalFormatting sqref="G22:G50 G53:G992">
    <cfRule type="beginsWith" priority="2" operator="beginsWith" aboveAverage="0" equalAverage="0" bottom="0" percent="0" rank="0" text="4" dxfId="13">
      <formula>LEFT(G22,LEN("4"))="4"</formula>
    </cfRule>
    <cfRule type="containsText" priority="3" operator="containsText" aboveAverage="0" equalAverage="0" bottom="0" percent="0" rank="0" text="Low" dxfId="14">
      <formula>NOT(ISERROR(SEARCH("Low",G22)))</formula>
    </cfRule>
    <cfRule type="containsText" priority="4" operator="containsText" aboveAverage="0" equalAverage="0" bottom="0" percent="0" rank="0" text="Medium" dxfId="15">
      <formula>NOT(ISERROR(SEARCH("Medium",G22)))</formula>
    </cfRule>
    <cfRule type="containsText" priority="5" operator="containsText" aboveAverage="0" equalAverage="0" bottom="0" percent="0" rank="0" text="High" dxfId="16">
      <formula>NOT(ISERROR(SEARCH("High",G22)))</formula>
    </cfRule>
  </conditionalFormatting>
  <conditionalFormatting sqref="I22:I62 J53 J57 J60 J62:J992">
    <cfRule type="containsText" priority="6" operator="containsText" aboveAverage="0" equalAverage="0" bottom="0" percent="0" rank="0" text="Pending" dxfId="17">
      <formula>NOT(ISERROR(SEARCH("Pending",I22)))</formula>
    </cfRule>
    <cfRule type="containsText" priority="7" operator="containsText" aboveAverage="0" equalAverage="0" bottom="0" percent="0" rank="0" text="In Progress" dxfId="18">
      <formula>NOT(ISERROR(SEARCH("In Progress",I22)))</formula>
    </cfRule>
    <cfRule type="containsText" priority="8" operator="containsText" aboveAverage="0" equalAverage="0" bottom="0" percent="0" rank="0" text="Done" dxfId="19">
      <formula>NOT(ISERROR(SEARCH("Done",I22)))</formula>
    </cfRule>
    <cfRule type="containsText" priority="9" operator="containsText" aboveAverage="0" equalAverage="0" bottom="0" percent="0" rank="0" text="Not Started" dxfId="20">
      <formula>NOT(ISERROR(SEARCH("Not Started",I22)))</formula>
    </cfRule>
  </conditionalFormatting>
  <conditionalFormatting sqref="G49:G51">
    <cfRule type="beginsWith" priority="10" operator="beginsWith" aboveAverage="0" equalAverage="0" bottom="0" percent="0" rank="0" text="4" dxfId="13">
      <formula>LEFT(G49,LEN("4"))="4"</formula>
    </cfRule>
    <cfRule type="containsText" priority="11" operator="containsText" aboveAverage="0" equalAverage="0" bottom="0" percent="0" rank="0" text="Low" dxfId="14">
      <formula>NOT(ISERROR(SEARCH("Low",G49)))</formula>
    </cfRule>
    <cfRule type="containsText" priority="12" operator="containsText" aboveAverage="0" equalAverage="0" bottom="0" percent="0" rank="0" text="Medium" dxfId="15">
      <formula>NOT(ISERROR(SEARCH("Medium",G49)))</formula>
    </cfRule>
    <cfRule type="containsText" priority="13" operator="containsText" aboveAverage="0" equalAverage="0" bottom="0" percent="0" rank="0" text="High" dxfId="16">
      <formula>NOT(ISERROR(SEARCH("High",G49)))</formula>
    </cfRule>
  </conditionalFormatting>
  <conditionalFormatting sqref="I49:I51">
    <cfRule type="containsText" priority="14" operator="containsText" aboveAverage="0" equalAverage="0" bottom="0" percent="0" rank="0" text="Pending" dxfId="17">
      <formula>NOT(ISERROR(SEARCH("Pending",I49)))</formula>
    </cfRule>
    <cfRule type="containsText" priority="15" operator="containsText" aboveAverage="0" equalAverage="0" bottom="0" percent="0" rank="0" text="In Progress" dxfId="18">
      <formula>NOT(ISERROR(SEARCH("In Progress",I49)))</formula>
    </cfRule>
    <cfRule type="containsText" priority="16" operator="containsText" aboveAverage="0" equalAverage="0" bottom="0" percent="0" rank="0" text="Done" dxfId="19">
      <formula>NOT(ISERROR(SEARCH("Done",I49)))</formula>
    </cfRule>
    <cfRule type="containsText" priority="17" operator="containsText" aboveAverage="0" equalAverage="0" bottom="0" percent="0" rank="0" text="Not Started" dxfId="20">
      <formula>NOT(ISERROR(SEARCH("Not Started",I49)))</formula>
    </cfRule>
  </conditionalFormatting>
  <conditionalFormatting sqref="G52:G55 G57:G59">
    <cfRule type="beginsWith" priority="18" operator="beginsWith" aboveAverage="0" equalAverage="0" bottom="0" percent="0" rank="0" text="4" dxfId="13">
      <formula>LEFT(G52,LEN("4"))="4"</formula>
    </cfRule>
    <cfRule type="containsText" priority="19" operator="containsText" aboveAverage="0" equalAverage="0" bottom="0" percent="0" rank="0" text="Low" dxfId="14">
      <formula>NOT(ISERROR(SEARCH("Low",G52)))</formula>
    </cfRule>
    <cfRule type="containsText" priority="20" operator="containsText" aboveAverage="0" equalAverage="0" bottom="0" percent="0" rank="0" text="Medium" dxfId="15">
      <formula>NOT(ISERROR(SEARCH("Medium",G52)))</formula>
    </cfRule>
    <cfRule type="containsText" priority="21" operator="containsText" aboveAverage="0" equalAverage="0" bottom="0" percent="0" rank="0" text="High" dxfId="16">
      <formula>NOT(ISERROR(SEARCH("High",G52)))</formula>
    </cfRule>
  </conditionalFormatting>
  <conditionalFormatting sqref="I52:I55 I57:I62">
    <cfRule type="containsText" priority="22" operator="containsText" aboveAverage="0" equalAverage="0" bottom="0" percent="0" rank="0" text="Pending" dxfId="17">
      <formula>NOT(ISERROR(SEARCH("Pending",I52)))</formula>
    </cfRule>
    <cfRule type="containsText" priority="23" operator="containsText" aboveAverage="0" equalAverage="0" bottom="0" percent="0" rank="0" text="In Progress" dxfId="18">
      <formula>NOT(ISERROR(SEARCH("In Progress",I52)))</formula>
    </cfRule>
    <cfRule type="containsText" priority="24" operator="containsText" aboveAverage="0" equalAverage="0" bottom="0" percent="0" rank="0" text="Done" dxfId="19">
      <formula>NOT(ISERROR(SEARCH("Done",I52)))</formula>
    </cfRule>
    <cfRule type="containsText" priority="25" operator="containsText" aboveAverage="0" equalAverage="0" bottom="0" percent="0" rank="0" text="Not Started" dxfId="20">
      <formula>NOT(ISERROR(SEARCH("Not Started",I52)))</formula>
    </cfRule>
  </conditionalFormatting>
  <conditionalFormatting sqref="G60:G62">
    <cfRule type="beginsWith" priority="26" operator="beginsWith" aboveAverage="0" equalAverage="0" bottom="0" percent="0" rank="0" text="4" dxfId="13">
      <formula>LEFT(G60,LEN("4"))="4"</formula>
    </cfRule>
    <cfRule type="containsText" priority="27" operator="containsText" aboveAverage="0" equalAverage="0" bottom="0" percent="0" rank="0" text="Low" dxfId="14">
      <formula>NOT(ISERROR(SEARCH("Low",G60)))</formula>
    </cfRule>
    <cfRule type="containsText" priority="28" operator="containsText" aboveAverage="0" equalAverage="0" bottom="0" percent="0" rank="0" text="Medium" dxfId="15">
      <formula>NOT(ISERROR(SEARCH("Medium",G60)))</formula>
    </cfRule>
    <cfRule type="containsText" priority="29" operator="containsText" aboveAverage="0" equalAverage="0" bottom="0" percent="0" rank="0" text="High" dxfId="16">
      <formula>NOT(ISERROR(SEARCH("High",G60)))</formula>
    </cfRule>
  </conditionalFormatting>
  <dataValidations count="2">
    <dataValidation allowBlank="true" errorStyle="stop" operator="between" showDropDown="false" showErrorMessage="true" showInputMessage="false" sqref="I22:I62" type="list">
      <formula1>"Not Started,In Progress,Done,Pending,Cancel"</formula1>
      <formula2>0</formula2>
    </dataValidation>
    <dataValidation allowBlank="true" errorStyle="stop" operator="between" showDropDown="false" showErrorMessage="true" showInputMessage="false" sqref="G22:G62" type="list">
      <formula1>"4-Critical,3-High,2-Medium,1-Low"</formula1>
      <formula2>0</formula2>
    </dataValidation>
  </dataValidations>
  <hyperlinks>
    <hyperlink ref="E10" r:id="rId1" display="https://ftms-stag.fpt.net/fcr"/>
    <hyperlink ref="E11" r:id="rId2" display="https://ftms.fpt.net/fcr"/>
  </hyperlinks>
  <printOptions headings="false" gridLines="false" gridLinesSet="true" horizontalCentered="true" verticalCentered="false"/>
  <pageMargins left="0.4" right="0.4"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
  <tableParts>
    <tablePart r:id="rId4"/>
  </tableParts>
</worksheet>
</file>

<file path=xl/worksheets/sheet4.xml><?xml version="1.0" encoding="utf-8"?>
<worksheet xmlns="http://schemas.openxmlformats.org/spreadsheetml/2006/main">
  <sheetPr filterMode="false">
    <pageSetUpPr fitToPage="false"/>
  </sheetPr>
  <dimension ref="A1:Z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7" ySplit="6" topLeftCell="I7" activePane="bottomRight" state="frozen"/>
      <selection pane="topLeft" activeCell="A1" activeCellId="0" sqref="A1"/>
      <selection pane="topRight" activeCell="I1" activeCellId="0" sqref="I1"/>
      <selection pane="bottomLeft" activeCell="A7" activeCellId="0" sqref="A7"/>
      <selection pane="bottomRight" activeCell="L8" activeCellId="0" sqref="L8"/>
    </sheetView>
  </sheetViews>
  <sheetFormatPr defaultColWidth="14.43359375" defaultRowHeight="15" zeroHeight="false" outlineLevelRow="0" outlineLevelCol="0"/>
  <cols>
    <col collapsed="false" customWidth="true" hidden="false" outlineLevel="0" max="1" min="1" style="0" width="8"/>
    <col collapsed="false" customWidth="true" hidden="false" outlineLevel="0" max="2" min="2" style="0" width="24"/>
    <col collapsed="false" customWidth="true" hidden="false" outlineLevel="0" max="3" min="3" style="0" width="50"/>
    <col collapsed="false" customWidth="true" hidden="false" outlineLevel="0" max="4" min="4" style="0" width="10"/>
    <col collapsed="false" customWidth="true" hidden="false" outlineLevel="0" max="5" min="5" style="0" width="12"/>
    <col collapsed="false" customWidth="true" hidden="false" outlineLevel="0" max="7" min="6" style="0" width="10"/>
    <col collapsed="false" customWidth="true" hidden="false" outlineLevel="0" max="8" min="8" style="0" width="50"/>
    <col collapsed="false" customWidth="true" hidden="false" outlineLevel="0" max="9" min="9" style="0" width="16"/>
    <col collapsed="false" customWidth="true" hidden="false" outlineLevel="0" max="11" min="10" style="0" width="12"/>
    <col collapsed="false" customWidth="true" hidden="false" outlineLevel="0" max="12" min="12" style="0" width="17.01"/>
    <col collapsed="false" customWidth="true" hidden="false" outlineLevel="0" max="13" min="13" style="0" width="16.59"/>
    <col collapsed="false" customWidth="true" hidden="false" outlineLevel="0" max="14" min="14" style="0" width="10"/>
    <col collapsed="false" customWidth="true" hidden="false" outlineLevel="0" max="15" min="15" style="0" width="12"/>
    <col collapsed="false" customWidth="true" hidden="false" outlineLevel="0" max="16" min="16" style="0" width="50"/>
    <col collapsed="false" customWidth="true" hidden="false" outlineLevel="0" max="20" min="17" style="0" width="10"/>
    <col collapsed="false" customWidth="true" hidden="false" outlineLevel="0" max="26" min="21" style="0" width="8.71"/>
  </cols>
  <sheetData>
    <row r="1" customFormat="false" ht="33.85" hidden="false" customHeight="false" outlineLevel="0" collapsed="false">
      <c r="B1" s="55" t="s">
        <v>154</v>
      </c>
    </row>
    <row r="3" customFormat="false" ht="30" hidden="false" customHeight="true" outlineLevel="0" collapsed="false">
      <c r="B3" s="56" t="s">
        <v>155</v>
      </c>
      <c r="C3" s="57" t="s">
        <v>156</v>
      </c>
      <c r="D3" s="57"/>
      <c r="E3" s="57"/>
      <c r="F3" s="57"/>
      <c r="G3" s="57"/>
      <c r="H3" s="58" t="s">
        <v>157</v>
      </c>
      <c r="I3" s="59" t="s">
        <v>158</v>
      </c>
    </row>
    <row r="4" customFormat="false" ht="75" hidden="false" customHeight="true" outlineLevel="0" collapsed="false">
      <c r="B4" s="56" t="s">
        <v>159</v>
      </c>
      <c r="C4" s="60" t="s">
        <v>160</v>
      </c>
      <c r="D4" s="60"/>
      <c r="E4" s="60"/>
      <c r="F4" s="60"/>
      <c r="G4" s="60"/>
      <c r="H4" s="61" t="n">
        <f aca="false">SUM(D7:D22)/2</f>
        <v>19.3333333333333</v>
      </c>
      <c r="I4" s="61" t="n">
        <f aca="false">SUM(O7:O22)/8/2</f>
        <v>20</v>
      </c>
    </row>
    <row r="6" customFormat="false" ht="55.2" hidden="false" customHeight="false" outlineLevel="0" collapsed="false">
      <c r="A6" s="62" t="s">
        <v>161</v>
      </c>
      <c r="B6" s="62" t="s">
        <v>162</v>
      </c>
      <c r="C6" s="62" t="s">
        <v>32</v>
      </c>
      <c r="D6" s="62" t="s">
        <v>163</v>
      </c>
      <c r="E6" s="62" t="s">
        <v>164</v>
      </c>
      <c r="F6" s="62" t="s">
        <v>165</v>
      </c>
      <c r="G6" s="62" t="s">
        <v>166</v>
      </c>
      <c r="H6" s="62" t="s">
        <v>167</v>
      </c>
      <c r="I6" s="62" t="s">
        <v>168</v>
      </c>
      <c r="J6" s="63" t="s">
        <v>169</v>
      </c>
      <c r="K6" s="64" t="s">
        <v>35</v>
      </c>
      <c r="L6" s="64" t="s">
        <v>170</v>
      </c>
      <c r="M6" s="64" t="s">
        <v>171</v>
      </c>
      <c r="N6" s="63" t="s">
        <v>172</v>
      </c>
      <c r="O6" s="64" t="s">
        <v>173</v>
      </c>
      <c r="P6" s="65" t="s">
        <v>38</v>
      </c>
      <c r="Q6" s="65" t="s">
        <v>174</v>
      </c>
      <c r="R6" s="65" t="s">
        <v>175</v>
      </c>
      <c r="S6" s="65" t="s">
        <v>176</v>
      </c>
      <c r="T6" s="65" t="s">
        <v>177</v>
      </c>
    </row>
    <row r="7" customFormat="false" ht="15.75" hidden="false" customHeight="true" outlineLevel="0" collapsed="false">
      <c r="A7" s="66"/>
      <c r="B7" s="67" t="s">
        <v>178</v>
      </c>
      <c r="C7" s="66"/>
      <c r="D7" s="68" t="n">
        <f aca="false">SUM(D8:D17)</f>
        <v>12</v>
      </c>
      <c r="E7" s="68" t="n">
        <f aca="false">SUM(E8:E17)</f>
        <v>14</v>
      </c>
      <c r="F7" s="66"/>
      <c r="G7" s="66"/>
      <c r="H7" s="66"/>
      <c r="I7" s="66"/>
      <c r="J7" s="69" t="n">
        <f aca="false">O7/8</f>
        <v>14</v>
      </c>
      <c r="K7" s="66"/>
      <c r="L7" s="70" t="n">
        <f aca="false">MIN(L8:L17)</f>
        <v>46181</v>
      </c>
      <c r="M7" s="70" t="n">
        <f aca="false">MAX(M8:M17)</f>
        <v>46185</v>
      </c>
      <c r="N7" s="69" t="n">
        <f aca="false">NETWORKDAYS(L7,M7)</f>
        <v>5</v>
      </c>
      <c r="O7" s="69" t="n">
        <f aca="false">SUM(O8:O17)</f>
        <v>112</v>
      </c>
      <c r="P7" s="66"/>
      <c r="Q7" s="66"/>
      <c r="R7" s="66"/>
      <c r="S7" s="66"/>
      <c r="T7" s="66"/>
      <c r="U7" s="71"/>
      <c r="V7" s="71"/>
      <c r="W7" s="71"/>
      <c r="X7" s="71"/>
      <c r="Y7" s="71"/>
      <c r="Z7" s="71"/>
    </row>
    <row r="8" customFormat="false" ht="15.75" hidden="false" customHeight="true" outlineLevel="0" collapsed="false">
      <c r="A8" s="72" t="s">
        <v>179</v>
      </c>
      <c r="B8" s="72" t="s">
        <v>180</v>
      </c>
      <c r="C8" s="72" t="s">
        <v>181</v>
      </c>
      <c r="D8" s="73" t="n">
        <f aca="false">AVERAGE(E8,(2*LEFT(F8,1)),(2*LEFT(G8,1)))</f>
        <v>5.33333333333333</v>
      </c>
      <c r="E8" s="73" t="n">
        <f aca="false">SUM(J8:J9)</f>
        <v>4</v>
      </c>
      <c r="F8" s="74" t="s">
        <v>56</v>
      </c>
      <c r="G8" s="74" t="s">
        <v>56</v>
      </c>
      <c r="H8" s="72" t="s">
        <v>182</v>
      </c>
      <c r="I8" s="75" t="s">
        <v>183</v>
      </c>
      <c r="J8" s="75" t="n">
        <f aca="false">O8/8</f>
        <v>3</v>
      </c>
      <c r="K8" s="75" t="s">
        <v>184</v>
      </c>
      <c r="L8" s="76" t="n">
        <v>46183</v>
      </c>
      <c r="M8" s="76" t="n">
        <v>46185</v>
      </c>
      <c r="N8" s="75" t="n">
        <f aca="false">NETWORKDAYS(L8,M8)</f>
        <v>3</v>
      </c>
      <c r="O8" s="75" t="n">
        <v>24</v>
      </c>
      <c r="P8" s="77"/>
      <c r="Q8" s="78" t="n">
        <v>7</v>
      </c>
      <c r="R8" s="79" t="s">
        <v>185</v>
      </c>
      <c r="S8" s="79" t="s">
        <v>180</v>
      </c>
      <c r="T8" s="79" t="s">
        <v>186</v>
      </c>
      <c r="U8" s="71"/>
      <c r="V8" s="71"/>
      <c r="W8" s="71"/>
      <c r="X8" s="71"/>
      <c r="Y8" s="71"/>
      <c r="Z8" s="71"/>
    </row>
    <row r="9" customFormat="false" ht="15.75" hidden="false" customHeight="true" outlineLevel="0" collapsed="false">
      <c r="A9" s="72"/>
      <c r="B9" s="72"/>
      <c r="C9" s="72"/>
      <c r="D9" s="72"/>
      <c r="E9" s="72"/>
      <c r="F9" s="74"/>
      <c r="G9" s="74"/>
      <c r="H9" s="72" t="s">
        <v>187</v>
      </c>
      <c r="I9" s="75" t="s">
        <v>188</v>
      </c>
      <c r="J9" s="75" t="n">
        <f aca="false">O9/8</f>
        <v>1</v>
      </c>
      <c r="K9" s="75" t="s">
        <v>184</v>
      </c>
      <c r="L9" s="76" t="n">
        <v>46185</v>
      </c>
      <c r="M9" s="76" t="n">
        <v>46185</v>
      </c>
      <c r="N9" s="75" t="n">
        <f aca="false">NETWORKDAYS(L9,M9)</f>
        <v>1</v>
      </c>
      <c r="O9" s="75" t="n">
        <v>8</v>
      </c>
      <c r="P9" s="72" t="s">
        <v>189</v>
      </c>
      <c r="Q9" s="78" t="n">
        <v>8</v>
      </c>
      <c r="R9" s="79" t="s">
        <v>185</v>
      </c>
      <c r="S9" s="79" t="s">
        <v>190</v>
      </c>
      <c r="T9" s="79" t="s">
        <v>186</v>
      </c>
      <c r="U9" s="71"/>
      <c r="V9" s="71"/>
      <c r="W9" s="71"/>
      <c r="X9" s="71"/>
      <c r="Y9" s="71"/>
      <c r="Z9" s="71"/>
    </row>
    <row r="10" customFormat="false" ht="15.75" hidden="false" customHeight="true" outlineLevel="0" collapsed="false">
      <c r="A10" s="72" t="s">
        <v>191</v>
      </c>
      <c r="B10" s="72" t="s">
        <v>192</v>
      </c>
      <c r="C10" s="72" t="s">
        <v>193</v>
      </c>
      <c r="D10" s="73" t="n">
        <f aca="false">AVERAGE(E10,(2*LEFT(F10,1)),(2*LEFT(G10,1)))</f>
        <v>6.66666666666667</v>
      </c>
      <c r="E10" s="73" t="n">
        <f aca="false">SUM(J10:J17)</f>
        <v>10</v>
      </c>
      <c r="F10" s="74" t="s">
        <v>56</v>
      </c>
      <c r="G10" s="80" t="s">
        <v>42</v>
      </c>
      <c r="H10" s="72" t="s">
        <v>194</v>
      </c>
      <c r="I10" s="75" t="s">
        <v>195</v>
      </c>
      <c r="J10" s="75" t="n">
        <f aca="false">O10/8</f>
        <v>1</v>
      </c>
      <c r="K10" s="75" t="s">
        <v>184</v>
      </c>
      <c r="L10" s="76" t="n">
        <v>46181</v>
      </c>
      <c r="M10" s="76" t="n">
        <v>46181</v>
      </c>
      <c r="N10" s="75" t="n">
        <f aca="false">NETWORKDAYS(L10,M10)</f>
        <v>1</v>
      </c>
      <c r="O10" s="75" t="n">
        <v>8</v>
      </c>
      <c r="P10" s="72" t="s">
        <v>196</v>
      </c>
      <c r="Q10" s="78" t="n">
        <v>7</v>
      </c>
      <c r="R10" s="79" t="s">
        <v>197</v>
      </c>
      <c r="S10" s="79" t="s">
        <v>190</v>
      </c>
      <c r="T10" s="79" t="s">
        <v>186</v>
      </c>
      <c r="U10" s="71"/>
      <c r="V10" s="71"/>
      <c r="W10" s="71"/>
      <c r="X10" s="71"/>
      <c r="Y10" s="71"/>
      <c r="Z10" s="71"/>
    </row>
    <row r="11" customFormat="false" ht="15.75" hidden="false" customHeight="true" outlineLevel="0" collapsed="false">
      <c r="A11" s="72"/>
      <c r="B11" s="72"/>
      <c r="C11" s="72"/>
      <c r="D11" s="72"/>
      <c r="E11" s="72"/>
      <c r="F11" s="74"/>
      <c r="G11" s="80"/>
      <c r="H11" s="72" t="s">
        <v>198</v>
      </c>
      <c r="I11" s="75" t="s">
        <v>195</v>
      </c>
      <c r="J11" s="75" t="n">
        <f aca="false">O11/8</f>
        <v>1</v>
      </c>
      <c r="K11" s="75" t="s">
        <v>184</v>
      </c>
      <c r="L11" s="76" t="n">
        <v>46181</v>
      </c>
      <c r="M11" s="76" t="n">
        <v>46181</v>
      </c>
      <c r="N11" s="75" t="n">
        <f aca="false">NETWORKDAYS(L11,M11)</f>
        <v>1</v>
      </c>
      <c r="O11" s="75" t="n">
        <v>8</v>
      </c>
      <c r="P11" s="72" t="s">
        <v>199</v>
      </c>
      <c r="Q11" s="78" t="n">
        <v>7</v>
      </c>
      <c r="R11" s="79" t="s">
        <v>197</v>
      </c>
      <c r="S11" s="79" t="s">
        <v>190</v>
      </c>
      <c r="T11" s="79" t="s">
        <v>186</v>
      </c>
      <c r="U11" s="71"/>
      <c r="V11" s="71"/>
      <c r="W11" s="71"/>
      <c r="X11" s="71"/>
      <c r="Y11" s="71"/>
      <c r="Z11" s="71"/>
    </row>
    <row r="12" customFormat="false" ht="15.75" hidden="false" customHeight="true" outlineLevel="0" collapsed="false">
      <c r="A12" s="72"/>
      <c r="B12" s="72"/>
      <c r="C12" s="72"/>
      <c r="D12" s="72"/>
      <c r="E12" s="72"/>
      <c r="F12" s="74"/>
      <c r="G12" s="80"/>
      <c r="H12" s="72" t="s">
        <v>200</v>
      </c>
      <c r="I12" s="75" t="s">
        <v>201</v>
      </c>
      <c r="J12" s="75" t="n">
        <f aca="false">O12/8</f>
        <v>1</v>
      </c>
      <c r="K12" s="75" t="s">
        <v>184</v>
      </c>
      <c r="L12" s="76" t="n">
        <v>46182</v>
      </c>
      <c r="M12" s="76" t="n">
        <v>46182</v>
      </c>
      <c r="N12" s="75" t="n">
        <f aca="false">NETWORKDAYS(L12,M12)</f>
        <v>1</v>
      </c>
      <c r="O12" s="75" t="n">
        <v>8</v>
      </c>
      <c r="P12" s="72" t="s">
        <v>196</v>
      </c>
      <c r="Q12" s="78" t="n">
        <v>7</v>
      </c>
      <c r="R12" s="79" t="s">
        <v>197</v>
      </c>
      <c r="S12" s="79" t="s">
        <v>190</v>
      </c>
      <c r="T12" s="79" t="s">
        <v>186</v>
      </c>
      <c r="U12" s="71"/>
      <c r="V12" s="71"/>
      <c r="W12" s="71"/>
      <c r="X12" s="71"/>
      <c r="Y12" s="71"/>
      <c r="Z12" s="71"/>
    </row>
    <row r="13" customFormat="false" ht="15.75" hidden="false" customHeight="true" outlineLevel="0" collapsed="false">
      <c r="A13" s="72"/>
      <c r="B13" s="72"/>
      <c r="C13" s="72"/>
      <c r="D13" s="72"/>
      <c r="E13" s="72"/>
      <c r="F13" s="74"/>
      <c r="G13" s="80"/>
      <c r="H13" s="72" t="s">
        <v>202</v>
      </c>
      <c r="I13" s="75" t="s">
        <v>201</v>
      </c>
      <c r="J13" s="75" t="n">
        <f aca="false">O13/8</f>
        <v>1</v>
      </c>
      <c r="K13" s="75" t="s">
        <v>184</v>
      </c>
      <c r="L13" s="76" t="n">
        <v>46182</v>
      </c>
      <c r="M13" s="76" t="n">
        <v>46182</v>
      </c>
      <c r="N13" s="75" t="n">
        <f aca="false">NETWORKDAYS(L13,M13)</f>
        <v>1</v>
      </c>
      <c r="O13" s="75" t="n">
        <v>8</v>
      </c>
      <c r="P13" s="72" t="s">
        <v>203</v>
      </c>
      <c r="Q13" s="78" t="n">
        <v>7</v>
      </c>
      <c r="R13" s="79" t="s">
        <v>197</v>
      </c>
      <c r="S13" s="79" t="s">
        <v>190</v>
      </c>
      <c r="T13" s="79" t="s">
        <v>186</v>
      </c>
      <c r="U13" s="71"/>
      <c r="V13" s="71"/>
      <c r="W13" s="71"/>
      <c r="X13" s="71"/>
      <c r="Y13" s="71"/>
      <c r="Z13" s="71"/>
    </row>
    <row r="14" customFormat="false" ht="15.75" hidden="false" customHeight="true" outlineLevel="0" collapsed="false">
      <c r="A14" s="72"/>
      <c r="B14" s="72"/>
      <c r="C14" s="72"/>
      <c r="D14" s="72"/>
      <c r="E14" s="72"/>
      <c r="F14" s="74"/>
      <c r="G14" s="80"/>
      <c r="H14" s="72" t="s">
        <v>204</v>
      </c>
      <c r="I14" s="75" t="s">
        <v>195</v>
      </c>
      <c r="J14" s="75" t="n">
        <f aca="false">O14/8</f>
        <v>2</v>
      </c>
      <c r="K14" s="75" t="s">
        <v>184</v>
      </c>
      <c r="L14" s="76" t="n">
        <v>46183</v>
      </c>
      <c r="M14" s="76" t="n">
        <v>46184</v>
      </c>
      <c r="N14" s="75" t="n">
        <f aca="false">NETWORKDAYS(L14,M14)</f>
        <v>2</v>
      </c>
      <c r="O14" s="75" t="n">
        <v>16</v>
      </c>
      <c r="P14" s="72" t="s">
        <v>196</v>
      </c>
      <c r="Q14" s="78" t="n">
        <v>8</v>
      </c>
      <c r="R14" s="79" t="s">
        <v>197</v>
      </c>
      <c r="S14" s="79" t="s">
        <v>190</v>
      </c>
      <c r="T14" s="79" t="s">
        <v>186</v>
      </c>
      <c r="U14" s="71"/>
      <c r="V14" s="71"/>
      <c r="W14" s="71"/>
      <c r="X14" s="71"/>
      <c r="Y14" s="71"/>
      <c r="Z14" s="71"/>
    </row>
    <row r="15" customFormat="false" ht="15.75" hidden="false" customHeight="true" outlineLevel="0" collapsed="false">
      <c r="A15" s="72"/>
      <c r="B15" s="72"/>
      <c r="C15" s="72"/>
      <c r="D15" s="72"/>
      <c r="E15" s="72"/>
      <c r="F15" s="74"/>
      <c r="G15" s="80"/>
      <c r="H15" s="72" t="s">
        <v>205</v>
      </c>
      <c r="I15" s="75" t="s">
        <v>201</v>
      </c>
      <c r="J15" s="75" t="n">
        <f aca="false">O15/8</f>
        <v>2</v>
      </c>
      <c r="K15" s="75" t="s">
        <v>184</v>
      </c>
      <c r="L15" s="76" t="n">
        <v>46183</v>
      </c>
      <c r="M15" s="76" t="n">
        <v>46184</v>
      </c>
      <c r="N15" s="75" t="n">
        <f aca="false">NETWORKDAYS(L15,M15)</f>
        <v>2</v>
      </c>
      <c r="O15" s="75" t="n">
        <v>16</v>
      </c>
      <c r="P15" s="72" t="s">
        <v>196</v>
      </c>
      <c r="Q15" s="78" t="n">
        <v>8</v>
      </c>
      <c r="R15" s="79" t="s">
        <v>197</v>
      </c>
      <c r="S15" s="79" t="s">
        <v>190</v>
      </c>
      <c r="T15" s="79" t="s">
        <v>186</v>
      </c>
      <c r="U15" s="71"/>
      <c r="V15" s="71"/>
      <c r="W15" s="71"/>
      <c r="X15" s="71"/>
      <c r="Y15" s="71"/>
      <c r="Z15" s="71"/>
    </row>
    <row r="16" customFormat="false" ht="15.75" hidden="false" customHeight="true" outlineLevel="0" collapsed="false">
      <c r="A16" s="72"/>
      <c r="B16" s="72"/>
      <c r="C16" s="72"/>
      <c r="D16" s="72"/>
      <c r="E16" s="72"/>
      <c r="F16" s="74"/>
      <c r="G16" s="80"/>
      <c r="H16" s="72" t="s">
        <v>206</v>
      </c>
      <c r="I16" s="75" t="s">
        <v>195</v>
      </c>
      <c r="J16" s="75" t="n">
        <f aca="false">O16/8</f>
        <v>1</v>
      </c>
      <c r="K16" s="75" t="s">
        <v>184</v>
      </c>
      <c r="L16" s="76" t="n">
        <v>46185</v>
      </c>
      <c r="M16" s="76" t="n">
        <v>46185</v>
      </c>
      <c r="N16" s="75" t="n">
        <f aca="false">NETWORKDAYS(L16,M16)</f>
        <v>1</v>
      </c>
      <c r="O16" s="75" t="n">
        <v>8</v>
      </c>
      <c r="P16" s="72" t="s">
        <v>196</v>
      </c>
      <c r="Q16" s="78" t="n">
        <v>7</v>
      </c>
      <c r="R16" s="79" t="s">
        <v>207</v>
      </c>
      <c r="S16" s="79" t="s">
        <v>208</v>
      </c>
      <c r="T16" s="79" t="s">
        <v>186</v>
      </c>
      <c r="U16" s="71"/>
      <c r="V16" s="71"/>
      <c r="W16" s="71"/>
      <c r="X16" s="71"/>
      <c r="Y16" s="71"/>
      <c r="Z16" s="71"/>
    </row>
    <row r="17" customFormat="false" ht="15.75" hidden="false" customHeight="true" outlineLevel="0" collapsed="false">
      <c r="A17" s="72"/>
      <c r="B17" s="72"/>
      <c r="C17" s="72"/>
      <c r="D17" s="72"/>
      <c r="E17" s="72"/>
      <c r="F17" s="74"/>
      <c r="G17" s="80"/>
      <c r="H17" s="72" t="s">
        <v>209</v>
      </c>
      <c r="I17" s="75" t="s">
        <v>201</v>
      </c>
      <c r="J17" s="75" t="n">
        <f aca="false">O17/8</f>
        <v>1</v>
      </c>
      <c r="K17" s="75" t="s">
        <v>184</v>
      </c>
      <c r="L17" s="76" t="n">
        <v>46185</v>
      </c>
      <c r="M17" s="76" t="n">
        <v>46185</v>
      </c>
      <c r="N17" s="75" t="n">
        <f aca="false">NETWORKDAYS(L17,M17)</f>
        <v>1</v>
      </c>
      <c r="O17" s="75" t="n">
        <v>8</v>
      </c>
      <c r="P17" s="72" t="s">
        <v>196</v>
      </c>
      <c r="Q17" s="78" t="n">
        <v>7</v>
      </c>
      <c r="R17" s="79" t="s">
        <v>207</v>
      </c>
      <c r="S17" s="79" t="s">
        <v>208</v>
      </c>
      <c r="T17" s="79" t="s">
        <v>186</v>
      </c>
      <c r="U17" s="71"/>
      <c r="V17" s="71"/>
      <c r="W17" s="71"/>
      <c r="X17" s="71"/>
      <c r="Y17" s="71"/>
      <c r="Z17" s="71"/>
    </row>
    <row r="18" customFormat="false" ht="15.75" hidden="false" customHeight="true" outlineLevel="0" collapsed="false">
      <c r="A18" s="66"/>
      <c r="B18" s="67" t="s">
        <v>210</v>
      </c>
      <c r="C18" s="66"/>
      <c r="D18" s="68" t="n">
        <f aca="false">SUM(D19:D22)</f>
        <v>7.33333333333333</v>
      </c>
      <c r="E18" s="68" t="n">
        <f aca="false">SUM(E19:E22)</f>
        <v>6</v>
      </c>
      <c r="F18" s="66"/>
      <c r="G18" s="66"/>
      <c r="H18" s="66"/>
      <c r="I18" s="66"/>
      <c r="J18" s="69" t="n">
        <f aca="false">O18/8</f>
        <v>6</v>
      </c>
      <c r="K18" s="66"/>
      <c r="L18" s="70" t="n">
        <f aca="false">MIN(L19:L22)</f>
        <v>46188</v>
      </c>
      <c r="M18" s="70" t="n">
        <f aca="false">MAX(M19:M22)</f>
        <v>46198</v>
      </c>
      <c r="N18" s="69" t="n">
        <f aca="false">NETWORKDAYS(L18,M18)</f>
        <v>9</v>
      </c>
      <c r="O18" s="69" t="n">
        <f aca="false">SUM(O19:O22)</f>
        <v>48</v>
      </c>
      <c r="P18" s="66"/>
      <c r="Q18" s="66"/>
      <c r="R18" s="66"/>
      <c r="S18" s="66"/>
      <c r="T18" s="66"/>
      <c r="U18" s="71"/>
      <c r="V18" s="71"/>
      <c r="W18" s="71"/>
      <c r="X18" s="71"/>
      <c r="Y18" s="71"/>
      <c r="Z18" s="71"/>
    </row>
    <row r="19" customFormat="false" ht="15.75" hidden="false" customHeight="true" outlineLevel="0" collapsed="false">
      <c r="A19" s="72" t="s">
        <v>211</v>
      </c>
      <c r="B19" s="72" t="s">
        <v>141</v>
      </c>
      <c r="C19" s="72" t="s">
        <v>212</v>
      </c>
      <c r="D19" s="73" t="n">
        <f aca="false">AVERAGE(E19,(2*LEFT(F19,1)),(2*LEFT(G19,1)))</f>
        <v>5</v>
      </c>
      <c r="E19" s="73" t="n">
        <f aca="false">SUM(J19:J21)</f>
        <v>5</v>
      </c>
      <c r="F19" s="74" t="s">
        <v>56</v>
      </c>
      <c r="G19" s="80" t="s">
        <v>42</v>
      </c>
      <c r="H19" s="72" t="s">
        <v>213</v>
      </c>
      <c r="I19" s="75" t="s">
        <v>195</v>
      </c>
      <c r="J19" s="75" t="n">
        <f aca="false">O19/8</f>
        <v>2</v>
      </c>
      <c r="K19" s="75" t="s">
        <v>184</v>
      </c>
      <c r="L19" s="76" t="n">
        <v>46188</v>
      </c>
      <c r="M19" s="76" t="n">
        <v>46189</v>
      </c>
      <c r="N19" s="75" t="n">
        <f aca="false">NETWORKDAYS(L19,M19)</f>
        <v>2</v>
      </c>
      <c r="O19" s="75" t="n">
        <v>16</v>
      </c>
      <c r="P19" s="72" t="s">
        <v>214</v>
      </c>
      <c r="Q19" s="78" t="n">
        <v>8</v>
      </c>
      <c r="R19" s="79" t="s">
        <v>185</v>
      </c>
      <c r="S19" s="79" t="s">
        <v>208</v>
      </c>
      <c r="T19" s="79" t="s">
        <v>215</v>
      </c>
      <c r="U19" s="71"/>
      <c r="V19" s="71"/>
      <c r="W19" s="71"/>
      <c r="X19" s="71"/>
      <c r="Y19" s="71"/>
      <c r="Z19" s="71"/>
    </row>
    <row r="20" customFormat="false" ht="15.75" hidden="false" customHeight="true" outlineLevel="0" collapsed="false">
      <c r="A20" s="72"/>
      <c r="B20" s="72"/>
      <c r="C20" s="72"/>
      <c r="D20" s="72"/>
      <c r="E20" s="72"/>
      <c r="F20" s="74"/>
      <c r="G20" s="80"/>
      <c r="H20" s="72" t="s">
        <v>216</v>
      </c>
      <c r="I20" s="75" t="s">
        <v>195</v>
      </c>
      <c r="J20" s="75" t="n">
        <f aca="false">O20/8</f>
        <v>2</v>
      </c>
      <c r="K20" s="75" t="s">
        <v>184</v>
      </c>
      <c r="L20" s="76" t="n">
        <v>46195</v>
      </c>
      <c r="M20" s="76" t="n">
        <v>46196</v>
      </c>
      <c r="N20" s="75" t="n">
        <f aca="false">NETWORKDAYS(L20,M20)</f>
        <v>2</v>
      </c>
      <c r="O20" s="75" t="n">
        <v>16</v>
      </c>
      <c r="P20" s="72" t="s">
        <v>217</v>
      </c>
      <c r="Q20" s="78" t="n">
        <v>8</v>
      </c>
      <c r="R20" s="79" t="s">
        <v>185</v>
      </c>
      <c r="S20" s="79" t="s">
        <v>208</v>
      </c>
      <c r="T20" s="79" t="s">
        <v>215</v>
      </c>
      <c r="U20" s="71"/>
      <c r="V20" s="71"/>
      <c r="W20" s="71"/>
      <c r="X20" s="71"/>
      <c r="Y20" s="71"/>
      <c r="Z20" s="71"/>
    </row>
    <row r="21" customFormat="false" ht="15.75" hidden="false" customHeight="true" outlineLevel="0" collapsed="false">
      <c r="A21" s="72"/>
      <c r="B21" s="72"/>
      <c r="C21" s="72"/>
      <c r="D21" s="72"/>
      <c r="E21" s="72"/>
      <c r="F21" s="74"/>
      <c r="G21" s="80"/>
      <c r="H21" s="72" t="s">
        <v>218</v>
      </c>
      <c r="I21" s="75" t="s">
        <v>195</v>
      </c>
      <c r="J21" s="75" t="n">
        <f aca="false">O21/8</f>
        <v>1</v>
      </c>
      <c r="K21" s="75" t="s">
        <v>184</v>
      </c>
      <c r="L21" s="76" t="n">
        <v>46197</v>
      </c>
      <c r="M21" s="76" t="n">
        <v>46197</v>
      </c>
      <c r="N21" s="75" t="n">
        <f aca="false">NETWORKDAYS(L21,M21)</f>
        <v>1</v>
      </c>
      <c r="O21" s="75" t="n">
        <v>8</v>
      </c>
      <c r="P21" s="72" t="s">
        <v>219</v>
      </c>
      <c r="Q21" s="78" t="n">
        <v>8</v>
      </c>
      <c r="R21" s="79" t="s">
        <v>185</v>
      </c>
      <c r="S21" s="79" t="s">
        <v>208</v>
      </c>
      <c r="T21" s="79" t="s">
        <v>186</v>
      </c>
      <c r="U21" s="71"/>
      <c r="V21" s="71"/>
      <c r="W21" s="71"/>
      <c r="X21" s="71"/>
      <c r="Y21" s="71"/>
      <c r="Z21" s="71"/>
    </row>
    <row r="22" customFormat="false" ht="15.75" hidden="false" customHeight="true" outlineLevel="0" collapsed="false">
      <c r="A22" s="72" t="s">
        <v>220</v>
      </c>
      <c r="B22" s="72" t="s">
        <v>141</v>
      </c>
      <c r="C22" s="72" t="s">
        <v>221</v>
      </c>
      <c r="D22" s="73" t="n">
        <f aca="false">AVERAGE(E22,(2*LEFT(F22,1)),(2*LEFT(G22,1)))</f>
        <v>2.33333333333333</v>
      </c>
      <c r="E22" s="73" t="n">
        <f aca="false">SUM(J22)</f>
        <v>1</v>
      </c>
      <c r="F22" s="80" t="s">
        <v>42</v>
      </c>
      <c r="G22" s="81" t="s">
        <v>85</v>
      </c>
      <c r="H22" s="72" t="s">
        <v>222</v>
      </c>
      <c r="I22" s="75" t="s">
        <v>195</v>
      </c>
      <c r="J22" s="75" t="n">
        <f aca="false">O22/8</f>
        <v>1</v>
      </c>
      <c r="K22" s="75" t="s">
        <v>184</v>
      </c>
      <c r="L22" s="76" t="n">
        <v>46198</v>
      </c>
      <c r="M22" s="76" t="n">
        <v>46198</v>
      </c>
      <c r="N22" s="75" t="n">
        <f aca="false">NETWORKDAYS(L22,M22)</f>
        <v>1</v>
      </c>
      <c r="O22" s="75" t="n">
        <v>8</v>
      </c>
      <c r="P22" s="72" t="s">
        <v>223</v>
      </c>
      <c r="Q22" s="78" t="n">
        <v>7</v>
      </c>
      <c r="R22" s="79" t="s">
        <v>185</v>
      </c>
      <c r="S22" s="79" t="s">
        <v>224</v>
      </c>
      <c r="T22" s="79" t="s">
        <v>186</v>
      </c>
      <c r="U22" s="71"/>
      <c r="V22" s="71"/>
      <c r="W22" s="71"/>
      <c r="X22" s="71"/>
      <c r="Y22" s="71"/>
      <c r="Z22" s="71"/>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1048519" customFormat="false" ht="12.8" hidden="false" customHeight="true" outlineLevel="0" collapsed="false"/>
    <row r="1048520" customFormat="false" ht="12.8" hidden="false" customHeight="true" outlineLevel="0" collapsed="false"/>
    <row r="1048521" customFormat="false" ht="12.8" hidden="false" customHeight="true" outlineLevel="0" collapsed="false"/>
    <row r="1048522" customFormat="false" ht="12.8" hidden="false" customHeight="true" outlineLevel="0" collapsed="false"/>
    <row r="1048523" customFormat="false" ht="12.8" hidden="false" customHeight="true" outlineLevel="0" collapsed="false"/>
    <row r="1048524" customFormat="false" ht="12.8" hidden="false" customHeight="true" outlineLevel="0" collapsed="false"/>
    <row r="1048525" customFormat="false" ht="12.8" hidden="false" customHeight="true" outlineLevel="0" collapsed="false"/>
    <row r="1048526" customFormat="false" ht="12.8" hidden="false" customHeight="true" outlineLevel="0" collapsed="false"/>
    <row r="1048527" customFormat="false" ht="12.8" hidden="false" customHeight="true" outlineLevel="0" collapsed="false"/>
    <row r="1048528" customFormat="false" ht="12.8" hidden="false" customHeight="true" outlineLevel="0" collapsed="false"/>
    <row r="1048529" customFormat="false" ht="12.8" hidden="false" customHeight="true" outlineLevel="0" collapsed="false"/>
    <row r="1048530" customFormat="false" ht="12.8" hidden="false" customHeight="true" outlineLevel="0" collapsed="false"/>
    <row r="1048531" customFormat="false" ht="12.8" hidden="false" customHeight="true" outlineLevel="0" collapsed="false"/>
    <row r="1048532" customFormat="false" ht="12.8" hidden="false" customHeight="true" outlineLevel="0" collapsed="false"/>
    <row r="1048533" customFormat="false" ht="12.8" hidden="false" customHeight="true" outlineLevel="0" collapsed="false"/>
    <row r="1048534" customFormat="false" ht="12.8" hidden="false" customHeight="true" outlineLevel="0" collapsed="false"/>
    <row r="1048535" customFormat="false" ht="12.8" hidden="false" customHeight="true" outlineLevel="0" collapsed="false"/>
    <row r="1048536" customFormat="false" ht="12.8" hidden="false" customHeight="true" outlineLevel="0" collapsed="false"/>
    <row r="1048537" customFormat="false" ht="12.8" hidden="false" customHeight="true" outlineLevel="0" collapsed="false"/>
    <row r="1048538" customFormat="false" ht="12.8" hidden="false" customHeight="true" outlineLevel="0" collapsed="false"/>
    <row r="1048539" customFormat="false" ht="12.8" hidden="false" customHeight="true" outlineLevel="0" collapsed="false"/>
    <row r="1048540" customFormat="false" ht="12.8" hidden="false" customHeight="true" outlineLevel="0" collapsed="false"/>
    <row r="1048541" customFormat="false" ht="12.8" hidden="false" customHeight="true" outlineLevel="0" collapsed="false"/>
    <row r="1048542" customFormat="false" ht="12.8" hidden="false" customHeight="true" outlineLevel="0" collapsed="false"/>
    <row r="1048543" customFormat="false" ht="12.8" hidden="false" customHeight="true" outlineLevel="0" collapsed="false"/>
    <row r="1048544" customFormat="false" ht="12.8" hidden="false" customHeight="true" outlineLevel="0" collapsed="false"/>
    <row r="1048545" customFormat="false" ht="12.8" hidden="false" customHeight="true" outlineLevel="0" collapsed="false"/>
    <row r="1048546" customFormat="false" ht="12.8" hidden="false" customHeight="true" outlineLevel="0" collapsed="false"/>
    <row r="1048547" customFormat="false" ht="12.8" hidden="false" customHeight="true" outlineLevel="0" collapsed="false"/>
    <row r="1048548" customFormat="false" ht="12.8" hidden="false" customHeight="true" outlineLevel="0" collapsed="false"/>
    <row r="1048549" customFormat="false" ht="12.8" hidden="false" customHeight="true" outlineLevel="0" collapsed="false"/>
    <row r="1048550" customFormat="false" ht="12.8" hidden="false" customHeight="true" outlineLevel="0" collapsed="false"/>
    <row r="1048551" customFormat="false" ht="12.8" hidden="false" customHeight="true" outlineLevel="0" collapsed="false"/>
    <row r="1048552" customFormat="false" ht="12.8" hidden="false" customHeight="true" outlineLevel="0" collapsed="false"/>
    <row r="1048553" customFormat="false" ht="12.8" hidden="false" customHeight="true" outlineLevel="0" collapsed="false"/>
    <row r="1048554" customFormat="false" ht="12.8" hidden="false" customHeight="true" outlineLevel="0" collapsed="false"/>
    <row r="1048555" customFormat="false" ht="12.8" hidden="false" customHeight="true" outlineLevel="0" collapsed="false"/>
    <row r="1048556" customFormat="false" ht="12.8" hidden="false" customHeight="true" outlineLevel="0" collapsed="false"/>
    <row r="1048557" customFormat="false" ht="12.8" hidden="false" customHeight="true" outlineLevel="0" collapsed="false"/>
    <row r="1048558" customFormat="false" ht="12.8" hidden="false" customHeight="true" outlineLevel="0" collapsed="false"/>
    <row r="1048559" customFormat="false" ht="12.8" hidden="false" customHeight="true" outlineLevel="0" collapsed="false"/>
    <row r="1048560" customFormat="false" ht="12.8" hidden="false" customHeight="true" outlineLevel="0" collapsed="false"/>
    <row r="1048561" customFormat="false" ht="12.8" hidden="false" customHeight="true" outlineLevel="0" collapsed="false"/>
    <row r="1048562" customFormat="false" ht="12.8" hidden="false" customHeight="true" outlineLevel="0" collapsed="false"/>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mergeCells count="23">
    <mergeCell ref="C3:G3"/>
    <mergeCell ref="C4:G4"/>
    <mergeCell ref="A8:A9"/>
    <mergeCell ref="B8:B9"/>
    <mergeCell ref="C8:C9"/>
    <mergeCell ref="D8:D9"/>
    <mergeCell ref="E8:E9"/>
    <mergeCell ref="F8:F9"/>
    <mergeCell ref="G8:G9"/>
    <mergeCell ref="A10:A17"/>
    <mergeCell ref="B10:B17"/>
    <mergeCell ref="C10:C17"/>
    <mergeCell ref="D10:D17"/>
    <mergeCell ref="E10:E17"/>
    <mergeCell ref="F10:F17"/>
    <mergeCell ref="G10:G17"/>
    <mergeCell ref="A19:A21"/>
    <mergeCell ref="B19:B21"/>
    <mergeCell ref="C19:C21"/>
    <mergeCell ref="D19:D21"/>
    <mergeCell ref="E19:E21"/>
    <mergeCell ref="F19:F21"/>
    <mergeCell ref="G19:G21"/>
  </mergeCells>
  <conditionalFormatting sqref="F7:F855">
    <cfRule type="cellIs" priority="2" operator="equal" aboveAverage="0" equalAverage="0" bottom="0" percent="0" rank="0" text="" dxfId="13">
      <formula>"4-Critical"</formula>
    </cfRule>
    <cfRule type="cellIs" priority="3" operator="equal" aboveAverage="0" equalAverage="0" bottom="0" percent="0" rank="0" text="" dxfId="16">
      <formula>"3-High"</formula>
    </cfRule>
    <cfRule type="cellIs" priority="4" operator="equal" aboveAverage="0" equalAverage="0" bottom="0" percent="0" rank="0" text="" dxfId="15">
      <formula>"2-Medium"</formula>
    </cfRule>
    <cfRule type="cellIs" priority="5" operator="equal" aboveAverage="0" equalAverage="0" bottom="0" percent="0" rank="0" text="" dxfId="21">
      <formula>"1-Low"</formula>
    </cfRule>
  </conditionalFormatting>
  <conditionalFormatting sqref="G7:G855">
    <cfRule type="cellIs" priority="6" operator="equal" aboveAverage="0" equalAverage="0" bottom="0" percent="0" rank="0" text="" dxfId="16">
      <formula>"3-High"</formula>
    </cfRule>
    <cfRule type="cellIs" priority="7" operator="equal" aboveAverage="0" equalAverage="0" bottom="0" percent="0" rank="0" text="" dxfId="15">
      <formula>"2-Medium"</formula>
    </cfRule>
    <cfRule type="cellIs" priority="8" operator="equal" aboveAverage="0" equalAverage="0" bottom="0" percent="0" rank="0" text="" dxfId="21">
      <formula>"1-Low"</formula>
    </cfRule>
  </conditionalFormatting>
  <conditionalFormatting sqref="K19:K855 K8:K17">
    <cfRule type="cellIs" priority="9" operator="equal" aboveAverage="0" equalAverage="0" bottom="0" percent="0" rank="0" text="" dxfId="19">
      <formula>"Done"</formula>
    </cfRule>
    <cfRule type="cellIs" priority="10" operator="equal" aboveAverage="0" equalAverage="0" bottom="0" percent="0" rank="0" text="" dxfId="22">
      <formula>"In Progress"</formula>
    </cfRule>
    <cfRule type="cellIs" priority="11" operator="equal" aboveAverage="0" equalAverage="0" bottom="0" percent="0" rank="0" text="" dxfId="23">
      <formula>"Pending"</formula>
    </cfRule>
  </conditionalFormatting>
  <dataValidations count="3">
    <dataValidation allowBlank="true" errorStyle="stop" operator="between" showDropDown="false" showErrorMessage="false" showInputMessage="false" sqref="G7:G8 G10 G18:G19 G22" type="list">
      <formula1>"3-High,2-Medium,1-Low"</formula1>
      <formula2>0</formula2>
    </dataValidation>
    <dataValidation allowBlank="true" errorStyle="stop" operator="between" showDropDown="false" showErrorMessage="false" showInputMessage="false" sqref="K8:K17 K19:K22" type="list">
      <formula1>"Done,In Progress,Not Started,Pending"</formula1>
      <formula2>0</formula2>
    </dataValidation>
    <dataValidation allowBlank="true" errorStyle="stop" operator="between" showDropDown="false" showErrorMessage="false" showInputMessage="false" sqref="F7:F8 F10 F18:F19 F22" type="list">
      <formula1>"4-Critical,3-High,2-Medium,1-Low"</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B2: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zeroHeight="false" outlineLevelRow="0" outlineLevelCol="0"/>
  <cols>
    <col collapsed="false" customWidth="true" hidden="false" outlineLevel="0" max="1" min="1" style="0" width="8.71"/>
    <col collapsed="false" customWidth="true" hidden="false" outlineLevel="0" max="2" min="2" style="0" width="32.86"/>
    <col collapsed="false" customWidth="true" hidden="false" outlineLevel="0" max="6" min="3" style="0" width="8.71"/>
    <col collapsed="false" customWidth="true" hidden="false" outlineLevel="0" max="7" min="7" style="0" width="31.15"/>
    <col collapsed="false" customWidth="true" hidden="false" outlineLevel="0" max="12" min="8" style="0" width="8.71"/>
  </cols>
  <sheetData>
    <row r="2" customFormat="false" ht="36" hidden="false" customHeight="true" outlineLevel="0" collapsed="false">
      <c r="B2" s="22" t="s">
        <v>225</v>
      </c>
    </row>
    <row r="5" customFormat="false" ht="63" hidden="false" customHeight="true" outlineLevel="0" collapsed="false">
      <c r="B5" s="82" t="s">
        <v>226</v>
      </c>
      <c r="C5" s="83" t="s">
        <v>227</v>
      </c>
      <c r="D5" s="83"/>
      <c r="E5" s="83"/>
      <c r="F5" s="83"/>
      <c r="G5" s="83"/>
      <c r="H5" s="24"/>
      <c r="I5" s="24"/>
      <c r="J5" s="24"/>
      <c r="K5" s="24"/>
      <c r="L5" s="24"/>
    </row>
    <row r="6" customFormat="false" ht="35.25" hidden="false" customHeight="true" outlineLevel="0" collapsed="false">
      <c r="B6" s="84" t="s">
        <v>228</v>
      </c>
      <c r="C6" s="85" t="s">
        <v>229</v>
      </c>
      <c r="D6" s="85"/>
      <c r="E6" s="85"/>
      <c r="F6" s="85"/>
      <c r="G6" s="85"/>
      <c r="H6" s="24"/>
      <c r="I6" s="24"/>
      <c r="J6" s="24"/>
      <c r="K6" s="24"/>
      <c r="L6" s="24"/>
    </row>
    <row r="7" customFormat="false" ht="30" hidden="false" customHeight="true" outlineLevel="0" collapsed="false">
      <c r="B7" s="84" t="s">
        <v>165</v>
      </c>
      <c r="C7" s="86" t="s">
        <v>230</v>
      </c>
      <c r="D7" s="86"/>
      <c r="E7" s="86"/>
      <c r="F7" s="86"/>
      <c r="G7" s="86"/>
      <c r="H7" s="24"/>
      <c r="I7" s="24"/>
      <c r="J7" s="24"/>
      <c r="K7" s="24"/>
      <c r="L7" s="24"/>
    </row>
    <row r="8" customFormat="false" ht="30" hidden="false" customHeight="true" outlineLevel="0" collapsed="false">
      <c r="B8" s="87" t="s">
        <v>231</v>
      </c>
      <c r="C8" s="88" t="s">
        <v>232</v>
      </c>
      <c r="D8" s="88"/>
      <c r="E8" s="88"/>
      <c r="F8" s="88"/>
      <c r="G8" s="88"/>
      <c r="H8" s="24"/>
      <c r="I8" s="24"/>
      <c r="J8" s="24"/>
      <c r="K8" s="24"/>
      <c r="L8" s="24"/>
    </row>
    <row r="9" customFormat="false" ht="30" hidden="false" customHeight="true" outlineLevel="0" collapsed="false">
      <c r="B9" s="89" t="s">
        <v>56</v>
      </c>
      <c r="C9" s="90" t="s">
        <v>233</v>
      </c>
      <c r="D9" s="90"/>
      <c r="E9" s="90"/>
      <c r="F9" s="90"/>
      <c r="G9" s="90"/>
      <c r="H9" s="24"/>
      <c r="I9" s="24"/>
      <c r="J9" s="24"/>
      <c r="K9" s="24"/>
      <c r="L9" s="24"/>
    </row>
    <row r="10" customFormat="false" ht="30" hidden="false" customHeight="true" outlineLevel="0" collapsed="false">
      <c r="B10" s="91" t="s">
        <v>42</v>
      </c>
      <c r="C10" s="92" t="s">
        <v>234</v>
      </c>
      <c r="D10" s="92"/>
      <c r="E10" s="92"/>
      <c r="F10" s="92"/>
      <c r="G10" s="92"/>
      <c r="H10" s="24"/>
      <c r="I10" s="24"/>
      <c r="J10" s="24"/>
      <c r="K10" s="24"/>
      <c r="L10" s="24"/>
    </row>
    <row r="11" customFormat="false" ht="30" hidden="false" customHeight="true" outlineLevel="0" collapsed="false">
      <c r="B11" s="93" t="s">
        <v>85</v>
      </c>
      <c r="C11" s="94" t="s">
        <v>235</v>
      </c>
      <c r="D11" s="94"/>
      <c r="E11" s="94"/>
      <c r="F11" s="94"/>
      <c r="G11" s="94"/>
      <c r="H11" s="24"/>
      <c r="I11" s="24"/>
      <c r="J11" s="24"/>
      <c r="K11" s="24"/>
      <c r="L11" s="24"/>
    </row>
    <row r="12" customFormat="false" ht="30.75" hidden="false" customHeight="true" outlineLevel="0" collapsed="false">
      <c r="B12" s="84" t="s">
        <v>166</v>
      </c>
      <c r="C12" s="86" t="s">
        <v>236</v>
      </c>
      <c r="D12" s="86"/>
      <c r="E12" s="86"/>
      <c r="F12" s="86"/>
      <c r="G12" s="86"/>
      <c r="H12" s="24"/>
      <c r="I12" s="24"/>
      <c r="J12" s="24"/>
      <c r="K12" s="24"/>
      <c r="L12" s="24"/>
    </row>
    <row r="13" customFormat="false" ht="45" hidden="false" customHeight="true" outlineLevel="0" collapsed="false">
      <c r="B13" s="89" t="s">
        <v>56</v>
      </c>
      <c r="C13" s="90" t="s">
        <v>237</v>
      </c>
      <c r="D13" s="90"/>
      <c r="E13" s="90"/>
      <c r="F13" s="90"/>
      <c r="G13" s="90"/>
      <c r="H13" s="24"/>
      <c r="I13" s="24"/>
      <c r="J13" s="24"/>
      <c r="K13" s="24"/>
      <c r="L13" s="24"/>
    </row>
    <row r="14" customFormat="false" ht="45" hidden="false" customHeight="true" outlineLevel="0" collapsed="false">
      <c r="B14" s="91" t="s">
        <v>42</v>
      </c>
      <c r="C14" s="90" t="s">
        <v>238</v>
      </c>
      <c r="D14" s="90"/>
      <c r="E14" s="90"/>
      <c r="F14" s="90"/>
      <c r="G14" s="90"/>
      <c r="H14" s="24"/>
      <c r="I14" s="24"/>
      <c r="J14" s="24"/>
      <c r="K14" s="24"/>
      <c r="L14" s="24"/>
    </row>
    <row r="15" customFormat="false" ht="45" hidden="false" customHeight="true" outlineLevel="0" collapsed="false">
      <c r="B15" s="95" t="s">
        <v>85</v>
      </c>
      <c r="C15" s="96" t="s">
        <v>239</v>
      </c>
      <c r="D15" s="96"/>
      <c r="E15" s="96"/>
      <c r="F15" s="96"/>
      <c r="G15" s="96"/>
      <c r="H15" s="24"/>
      <c r="I15" s="24"/>
      <c r="J15" s="24"/>
      <c r="K15" s="24"/>
      <c r="L15" s="24"/>
    </row>
    <row r="16" customFormat="false" ht="15" hidden="false" customHeight="false" outlineLevel="0" collapsed="false">
      <c r="B16" s="24"/>
      <c r="D16" s="24"/>
      <c r="E16" s="24"/>
      <c r="F16" s="24"/>
      <c r="G16" s="24"/>
      <c r="H16" s="24"/>
      <c r="I16" s="24"/>
      <c r="J16" s="24"/>
      <c r="K16" s="24"/>
      <c r="L16" s="24"/>
    </row>
    <row r="17" customFormat="false" ht="15" hidden="false" customHeight="false" outlineLevel="0" collapsed="false">
      <c r="B17" s="24"/>
      <c r="D17" s="24"/>
      <c r="E17" s="24"/>
      <c r="F17" s="24"/>
      <c r="G17" s="24"/>
      <c r="H17" s="24"/>
      <c r="I17" s="24"/>
      <c r="J17" s="24"/>
      <c r="K17" s="24"/>
      <c r="L17" s="24"/>
    </row>
    <row r="18" customFormat="false" ht="15" hidden="false" customHeight="false" outlineLevel="0" collapsed="false">
      <c r="B18" s="24"/>
      <c r="D18" s="24"/>
      <c r="E18" s="24"/>
      <c r="F18" s="24"/>
      <c r="G18" s="24"/>
      <c r="H18" s="24"/>
      <c r="I18" s="24"/>
      <c r="J18" s="24"/>
      <c r="K18" s="24"/>
      <c r="L18" s="24"/>
    </row>
    <row r="19" customFormat="false" ht="15" hidden="false" customHeight="false" outlineLevel="0" collapsed="false">
      <c r="B19" s="24"/>
      <c r="D19" s="24"/>
      <c r="E19" s="24"/>
      <c r="F19" s="24"/>
      <c r="G19" s="24"/>
      <c r="H19" s="24"/>
      <c r="I19" s="24"/>
      <c r="J19" s="24"/>
      <c r="K19" s="24"/>
      <c r="L19" s="24"/>
    </row>
    <row r="20" customFormat="false" ht="15" hidden="false" customHeight="false" outlineLevel="0" collapsed="false">
      <c r="B20" s="24"/>
      <c r="D20" s="24"/>
      <c r="E20" s="24"/>
      <c r="F20" s="24"/>
      <c r="G20" s="24"/>
      <c r="H20" s="24"/>
      <c r="I20" s="24"/>
      <c r="J20" s="24"/>
      <c r="K20" s="24"/>
      <c r="L20" s="24"/>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C5:G5"/>
    <mergeCell ref="C6:G6"/>
    <mergeCell ref="C7:G7"/>
    <mergeCell ref="C8:G8"/>
    <mergeCell ref="C9:G9"/>
    <mergeCell ref="C10:G10"/>
    <mergeCell ref="C11:G11"/>
    <mergeCell ref="C12:G12"/>
    <mergeCell ref="C13:G13"/>
    <mergeCell ref="C14:G14"/>
    <mergeCell ref="C15:G15"/>
  </mergeCells>
  <conditionalFormatting sqref="B11">
    <cfRule type="containsText" priority="2" operator="containsText" aboveAverage="0" equalAverage="0" bottom="0" percent="0" rank="0" text="Low" dxfId="14">
      <formula>NOT(ISERROR(SEARCH("Low",B11)))</formula>
    </cfRule>
  </conditionalFormatting>
  <conditionalFormatting sqref="B11">
    <cfRule type="containsText" priority="3" operator="containsText" aboveAverage="0" equalAverage="0" bottom="0" percent="0" rank="0" text="Medium" dxfId="15">
      <formula>NOT(ISERROR(SEARCH("Medium",B11)))</formula>
    </cfRule>
  </conditionalFormatting>
  <conditionalFormatting sqref="B11">
    <cfRule type="containsText" priority="4" operator="containsText" aboveAverage="0" equalAverage="0" bottom="0" percent="0" rank="0" text="High" dxfId="16">
      <formula>NOT(ISERROR(SEARCH("High",B11)))</formula>
    </cfRule>
  </conditionalFormatting>
  <conditionalFormatting sqref="B15">
    <cfRule type="containsText" priority="5" operator="containsText" aboveAverage="0" equalAverage="0" bottom="0" percent="0" rank="0" text="Low" dxfId="14">
      <formula>NOT(ISERROR(SEARCH("Low",B15)))</formula>
    </cfRule>
  </conditionalFormatting>
  <conditionalFormatting sqref="B15">
    <cfRule type="containsText" priority="6" operator="containsText" aboveAverage="0" equalAverage="0" bottom="0" percent="0" rank="0" text="Medium" dxfId="15">
      <formula>NOT(ISERROR(SEARCH("Medium",B15)))</formula>
    </cfRule>
  </conditionalFormatting>
  <conditionalFormatting sqref="B15">
    <cfRule type="containsText" priority="7" operator="containsText" aboveAverage="0" equalAverage="0" bottom="0" percent="0" rank="0" text="High" dxfId="16">
      <formula>NOT(ISERROR(SEARCH("High",B15)))</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500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2026-07-31T18:04:48Z</dcterms:modified>
  <cp:revision>1</cp:revision>
  <dc:subject/>
  <dc:title/>
</cp:coreProperties>
</file>