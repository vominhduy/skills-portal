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2" sheetId="1" state="visible" r:id="rId1"/>
  </sheets>
  <definedNames/>
  <calcPr calcId="124519" fullCalcOnLoad="1"/>
</workbook>
</file>

<file path=xl/styles.xml><?xml version="1.0" encoding="utf-8"?>
<styleSheet xmlns="http://schemas.openxmlformats.org/spreadsheetml/2006/main">
  <numFmts count="3">
    <numFmt numFmtId="164" formatCode="ddd, MMM D, YY"/>
    <numFmt numFmtId="165" formatCode="0.0"/>
    <numFmt numFmtId="166" formatCode="yyyy-mm-dd h:mm:ss"/>
  </numFmts>
  <fonts count="6">
    <font>
      <name val="Calibri"/>
      <family val="2"/>
      <color theme="1"/>
      <sz val="11"/>
      <scheme val="minor"/>
    </font>
    <font>
      <name val="Calibri"/>
      <b val="1"/>
      <color rgb="00000000"/>
      <sz val="14"/>
    </font>
    <font>
      <name val="Calibri"/>
      <color rgb="00000000"/>
      <sz val="11"/>
    </font>
    <font>
      <name val="Calibri"/>
      <b val="1"/>
      <color rgb="00FFFFFF"/>
      <sz val="13"/>
    </font>
    <font>
      <name val="Calibri"/>
      <b val="1"/>
      <color rgb="000B5394"/>
      <sz val="12"/>
    </font>
    <font>
      <name val="Calibri"/>
      <b val="1"/>
      <color rgb="00000000"/>
      <sz val="13"/>
    </font>
  </fonts>
  <fills count="5">
    <fill>
      <patternFill/>
    </fill>
    <fill>
      <patternFill patternType="gray125"/>
    </fill>
    <fill>
      <patternFill patternType="solid">
        <fgColor rgb="000B5394"/>
        <bgColor rgb="000B5394"/>
      </patternFill>
    </fill>
    <fill>
      <patternFill patternType="solid">
        <fgColor rgb="00F3F3F3"/>
        <bgColor rgb="00F3F3F3"/>
      </patternFill>
    </fill>
    <fill>
      <patternFill patternType="solid">
        <fgColor rgb="00CCCCCC"/>
        <bgColor rgb="00CCCCCC"/>
      </patternFill>
    </fill>
  </fills>
  <borders count="1">
    <border>
      <left/>
      <right/>
      <top/>
      <bottom/>
      <diagonal/>
    </border>
  </borders>
  <cellStyleXfs count="1">
    <xf numFmtId="0" fontId="0" fillId="0" borderId="0"/>
  </cellStyleXfs>
  <cellXfs count="16">
    <xf numFmtId="0" fontId="0" fillId="0" borderId="0" pivotButton="0" quotePrefix="0" xfId="0"/>
    <xf numFmtId="0" fontId="0" fillId="0" borderId="0" applyAlignment="1" pivotButton="0" quotePrefix="0" xfId="0">
      <alignment horizontal="left" vertical="center"/>
    </xf>
    <xf numFmtId="0" fontId="1" fillId="0" borderId="0" pivotButton="0" quotePrefix="0" xfId="0"/>
    <xf numFmtId="0" fontId="2" fillId="0" borderId="0" applyAlignment="1" pivotButton="0" quotePrefix="0" xfId="0">
      <alignment vertical="top" wrapText="1"/>
    </xf>
    <xf numFmtId="0" fontId="1" fillId="0" borderId="0" applyAlignment="1" pivotButton="0" quotePrefix="0" xfId="0">
      <alignment horizontal="left" vertical="center"/>
    </xf>
    <xf numFmtId="164" fontId="2" fillId="0" borderId="0" applyAlignment="1" pivotButton="0" quotePrefix="0" xfId="0">
      <alignment horizontal="center" vertical="center"/>
    </xf>
    <xf numFmtId="165" fontId="2" fillId="0" borderId="0" applyAlignment="1" pivotButton="0" quotePrefix="0" xfId="0">
      <alignment horizontal="center"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0" applyAlignment="1" pivotButton="0" quotePrefix="0" xfId="0">
      <alignment horizontal="left" vertical="center"/>
    </xf>
    <xf numFmtId="0" fontId="5" fillId="4" borderId="0" applyAlignment="1" pivotButton="0" quotePrefix="0" xfId="0">
      <alignment horizontal="center" vertical="center"/>
    </xf>
    <xf numFmtId="164" fontId="5" fillId="4" borderId="0" applyAlignment="1" pivotButton="0" quotePrefix="0" xfId="0">
      <alignment horizontal="center" vertical="center"/>
    </xf>
    <xf numFmtId="165" fontId="5" fillId="4" borderId="0" applyAlignment="1" pivotButton="0" quotePrefix="0" xfId="0">
      <alignment horizontal="center" vertical="center"/>
    </xf>
    <xf numFmtId="0" fontId="2" fillId="0" borderId="0" applyAlignment="1" pivotButton="0" quotePrefix="0" xfId="0">
      <alignment horizontal="left" vertical="center" wrapText="1"/>
    </xf>
    <xf numFmtId="0" fontId="2" fillId="0" borderId="0" applyAlignment="1" pivotButton="0" quotePrefix="0" xfId="0">
      <alignment horizontal="center" vertical="center"/>
    </xf>
    <xf numFmtId="9" fontId="2"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N68"/>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3" customWidth="1" min="1" max="1"/>
    <col width="21.57" customWidth="1" min="2" max="2"/>
    <col width="36.43" customWidth="1" min="3" max="3"/>
    <col width="41.14" customWidth="1" min="4" max="4"/>
    <col width="15" customWidth="1" min="5" max="5"/>
    <col width="11" customWidth="1" min="6" max="6"/>
    <col width="18.71" customWidth="1" min="7" max="7"/>
    <col width="18.71" customWidth="1" min="8" max="8"/>
    <col width="13.57" customWidth="1" min="9" max="9"/>
    <col width="24" customWidth="1" min="10" max="10"/>
    <col width="12" customWidth="1" min="11" max="11"/>
    <col width="12" customWidth="1" min="12" max="12"/>
    <col width="12" customWidth="1" min="13" max="13"/>
    <col width="12" customWidth="1" min="14" max="14"/>
  </cols>
  <sheetData>
    <row r="1">
      <c r="B1" s="1" t="inlineStr">
        <is>
          <r>
            <rPr>
              <b val="1"/>
              <color rgb="00ED7D31"/>
              <sz val="24"/>
            </rPr>
            <t xml:space="preserve">[SAL - Hệ thống Quản lý Bán hàng &amp; Tính lương Sprint 2] </t>
          </r>
          <r>
            <rPr>
              <b val="1"/>
              <color rgb="000B5394"/>
              <sz val="24"/>
            </rPr>
            <t>Project Planning ➜</t>
          </r>
        </is>
      </c>
    </row>
    <row r="3" ht="30" customHeight="1">
      <c r="B3" s="2" t="inlineStr">
        <is>
          <t>Goal</t>
        </is>
      </c>
      <c r="C3" s="3" t="inlineStr">
        <is>
          <t>Hoàn thiện toàn bộ phân hệ tính lương và phân bổ hóa đơn trả trước Cloudhub, tích hợp tự động Inside-SAL, mở rộng danh mục FOXSG, nâng cấp Core lương và tối ưu hóa quy trình nghiệp vụ cho Kế toán (AF) và Trưởng đơn vị (TDV) với sự hỗ trợ từ AI Code Assistant (Rút ngắn thời gian phát triển xuống 6 tuần).</t>
        </is>
      </c>
      <c r="G3" s="4" t="inlineStr">
        <is>
          <t>Start Date</t>
        </is>
      </c>
      <c r="H3" s="5">
        <f>MIN(G9:G68)</f>
        <v/>
      </c>
    </row>
    <row r="4" ht="30" customHeight="1">
      <c r="B4" s="2" t="inlineStr">
        <is>
          <t>Output/ Module</t>
        </is>
      </c>
      <c r="C4" s="3" t="inlineStr">
        <is>
          <t>1. Sprint Timeline: 17/08/2026 - 07/10/2026
2. Sprint Planning: 17/08/2026
3. Daily Scrum: 09:00 - 09:15 hàng ngày làm việc
4. Dev Complete: 22/09/2026
6. QC Testing: 23/09/2026 - 02/10/2026
7. UAT: 01/10/2026 - 07/10/2026
9. Sprint Staging Release: 07/10/2026</t>
        </is>
      </c>
      <c r="G4" s="4" t="inlineStr">
        <is>
          <t>Due Date</t>
        </is>
      </c>
      <c r="H4" s="5">
        <f>MAX(H9:H68)</f>
        <v/>
      </c>
    </row>
    <row r="5" ht="30" customHeight="1">
      <c r="B5" s="2" t="inlineStr">
        <is>
          <t>Description</t>
        </is>
      </c>
      <c r="C5" s="3" t="inlineStr">
        <is>
          <t>Hoàn thiện toàn bộ phân hệ tính lương và phân bổ hóa đơn trả trước Cloudhub, tích hợp tự động Inside-SAL, mở rộng danh mục FOXSG, nâng cấp Core lương và tối ưu hóa quy trình nghiệp vụ cho Kế toán (AF) và Trưởng đơn vị (TDV) với sự hỗ trợ từ AI Code Assistant (Rút ngắn thời gian phát triển xuống 6 tuần).</t>
        </is>
      </c>
      <c r="G5" s="4" t="inlineStr">
        <is>
          <t>Total Effort</t>
        </is>
      </c>
      <c r="H5" s="6">
        <f>SUM(I9:I68)</f>
        <v/>
      </c>
    </row>
    <row r="6" ht="10" customHeight="1"/>
    <row r="7" ht="25" customHeight="1">
      <c r="B7" s="7" t="inlineStr">
        <is>
          <t>PROJECT DETAILS</t>
        </is>
      </c>
    </row>
    <row r="8" ht="25" customHeight="1">
      <c r="B8" s="8" t="inlineStr">
        <is>
          <t>MODULE/ MAIN TASK</t>
        </is>
      </c>
      <c r="C8" s="8" t="inlineStr">
        <is>
          <t>TASK NAME</t>
        </is>
      </c>
      <c r="D8" s="8" t="inlineStr">
        <is>
          <t>DESCRIPTION</t>
        </is>
      </c>
      <c r="E8" s="8" t="inlineStr">
        <is>
          <t>PIC</t>
        </is>
      </c>
      <c r="F8" s="8" t="inlineStr">
        <is>
          <t>% DONE</t>
        </is>
      </c>
      <c r="G8" s="8" t="inlineStr">
        <is>
          <t>START DATE</t>
        </is>
      </c>
      <c r="H8" s="8" t="inlineStr">
        <is>
          <t>DUE DATE</t>
        </is>
      </c>
      <c r="I8" s="8" t="inlineStr">
        <is>
          <t>EFFORT (Hour)</t>
        </is>
      </c>
      <c r="J8" s="8" t="inlineStr">
        <is>
          <t>NOTE</t>
        </is>
      </c>
      <c r="K8" s="8" t="inlineStr">
        <is>
          <t>TASK COMPLEXITY</t>
        </is>
      </c>
      <c r="L8" s="8" t="inlineStr">
        <is>
          <t>Type OF WORK</t>
        </is>
      </c>
      <c r="M8" s="8" t="inlineStr">
        <is>
          <t>TASK PROCESS</t>
        </is>
      </c>
      <c r="N8" s="8" t="inlineStr">
        <is>
          <t>TASK PRIORITY</t>
        </is>
      </c>
    </row>
    <row r="9" ht="36.75" customHeight="1">
      <c r="B9" s="9" t="inlineStr">
        <is>
          <t>EPIC-0. Init Sprint - Kick-off, Analysis &amp; Setup</t>
        </is>
      </c>
      <c r="F9" s="10" t="n"/>
      <c r="G9" s="11">
        <f>MIN(G10:G21)</f>
        <v/>
      </c>
      <c r="H9" s="11">
        <f>MAX(H10:H21)</f>
        <v/>
      </c>
      <c r="I9" s="12">
        <f>SUM(I10:I21)</f>
        <v/>
      </c>
      <c r="J9" s="10" t="n"/>
    </row>
    <row r="10" ht="30" customHeight="1">
      <c r="B10" s="13" t="inlineStr">
        <is>
          <t>Project Management</t>
        </is>
      </c>
      <c r="C10" s="13" t="inlineStr">
        <is>
          <t>Tổ chức Sprint Planning &amp; Kick-off Sprint 2 (Mô hình AI-assisted)</t>
        </is>
      </c>
      <c r="D10" s="13" t="inlineStr">
        <is>
          <t>Khởi động Sprint 2, lập kế hoạch và thiết lập Risk Register.</t>
        </is>
      </c>
      <c r="E10" s="14" t="inlineStr">
        <is>
          <t>DuyVM4</t>
        </is>
      </c>
      <c r="F10" s="15" t="n">
        <v>0</v>
      </c>
      <c r="G10" s="5" t="n">
        <v>46251</v>
      </c>
      <c r="H10" s="5" t="n">
        <v>46253</v>
      </c>
      <c r="I10" s="6" t="n">
        <v>24</v>
      </c>
      <c r="J10" s="13" t="inlineStr">
        <is>
          <t>Thống nhất 19 hạng mục, timeline 6 tuần, mô hình AI-assisted.</t>
        </is>
      </c>
      <c r="K10" s="13" t="n">
        <v>7</v>
      </c>
      <c r="L10" s="14" t="inlineStr">
        <is>
          <t>Do</t>
        </is>
      </c>
      <c r="M10" s="14" t="inlineStr">
        <is>
          <t>Project Management</t>
        </is>
      </c>
      <c r="N10" s="14" t="inlineStr">
        <is>
          <t>Critical</t>
        </is>
      </c>
    </row>
    <row r="11" ht="30" customHeight="1">
      <c r="B11" s="13" t="inlineStr">
        <is>
          <t>Project Management</t>
        </is>
      </c>
      <c r="C11" s="13" t="inlineStr">
        <is>
          <t>Lập kế hoạch quản lý tiến độ &amp; Risk Register Sprint 2</t>
        </is>
      </c>
      <c r="D11" s="13" t="inlineStr">
        <is>
          <t>Khởi động Sprint 2, lập kế hoạch và thiết lập Risk Register.</t>
        </is>
      </c>
      <c r="E11" s="14" t="inlineStr">
        <is>
          <t>DuyVM4</t>
        </is>
      </c>
      <c r="F11" s="15" t="n">
        <v>0</v>
      </c>
      <c r="G11" s="5" t="n">
        <v>46259</v>
      </c>
      <c r="H11" s="5" t="n">
        <v>46260</v>
      </c>
      <c r="I11" s="6" t="n">
        <v>16</v>
      </c>
      <c r="J11" s="13" t="inlineStr">
        <is>
          <t>Kiểm soát rủi ro chất lượng code AI và giải thuật Core lương.</t>
        </is>
      </c>
      <c r="K11" s="13" t="n">
        <v>7</v>
      </c>
      <c r="L11" s="14" t="inlineStr">
        <is>
          <t>Do</t>
        </is>
      </c>
      <c r="M11" s="14" t="inlineStr">
        <is>
          <t>Project Management</t>
        </is>
      </c>
      <c r="N11" s="14" t="inlineStr">
        <is>
          <t>High</t>
        </is>
      </c>
    </row>
    <row r="12" ht="30" customHeight="1">
      <c r="B12" s="13" t="inlineStr">
        <is>
          <t>Project Management</t>
        </is>
      </c>
      <c r="C12" s="13" t="inlineStr">
        <is>
          <t>Theo dõi tiến độ &amp; điều phối công việc Tuần</t>
        </is>
      </c>
      <c r="D12" s="13" t="inlineStr">
        <is>
          <t>Khởi động Sprint 2, lập kế hoạch và thiết lập Risk Register.</t>
        </is>
      </c>
      <c r="E12" s="14" t="inlineStr">
        <is>
          <t>DuyVM4</t>
        </is>
      </c>
      <c r="F12" s="15" t="n">
        <v>0</v>
      </c>
      <c r="G12" s="5" t="n">
        <v>46272</v>
      </c>
      <c r="H12" s="5" t="n">
        <v>46273</v>
      </c>
      <c r="I12" s="6" t="n">
        <v>16</v>
      </c>
      <c r="J12" s="13" t="inlineStr">
        <is>
          <t>Giám sát tiến độ tuần, đảm bảo đúng milestone URD &amp; Tech design.</t>
        </is>
      </c>
      <c r="K12" s="13" t="n">
        <v>7</v>
      </c>
      <c r="L12" s="14" t="inlineStr">
        <is>
          <t>Do</t>
        </is>
      </c>
      <c r="M12" s="14" t="inlineStr">
        <is>
          <t>Project Management</t>
        </is>
      </c>
      <c r="N12" s="14" t="inlineStr">
        <is>
          <t>High</t>
        </is>
      </c>
    </row>
    <row r="13" ht="30" customHeight="1">
      <c r="B13" s="13" t="inlineStr">
        <is>
          <t>Project Management</t>
        </is>
      </c>
      <c r="C13" s="13" t="inlineStr">
        <is>
          <t>Theo dõi tiến độ &amp; điều phối công việc Tuần</t>
        </is>
      </c>
      <c r="D13" s="13" t="inlineStr">
        <is>
          <t>Khởi động Sprint 2, lập kế hoạch và thiết lập Risk Register.</t>
        </is>
      </c>
      <c r="E13" s="14" t="inlineStr">
        <is>
          <t>DuyVM4</t>
        </is>
      </c>
      <c r="F13" s="15" t="n">
        <v>0</v>
      </c>
      <c r="G13" s="5" t="n">
        <v>46279</v>
      </c>
      <c r="H13" s="5" t="n">
        <v>46280</v>
      </c>
      <c r="I13" s="6" t="n">
        <v>16</v>
      </c>
      <c r="J13" s="13" t="inlineStr">
        <is>
          <t>Giám sát tiến độ tuần, đảm bảo đúng milestone URD &amp; Tech design.</t>
        </is>
      </c>
      <c r="K13" s="13" t="n">
        <v>7</v>
      </c>
      <c r="L13" s="14" t="inlineStr">
        <is>
          <t>Do</t>
        </is>
      </c>
      <c r="M13" s="14" t="inlineStr">
        <is>
          <t>Project Management</t>
        </is>
      </c>
      <c r="N13" s="14" t="inlineStr">
        <is>
          <t>High</t>
        </is>
      </c>
    </row>
    <row r="14" ht="30" customHeight="1">
      <c r="B14" s="13" t="inlineStr">
        <is>
          <t>Project Management</t>
        </is>
      </c>
      <c r="C14" s="13" t="inlineStr">
        <is>
          <t>Check task QC &amp; điều phối</t>
        </is>
      </c>
      <c r="D14" s="13" t="inlineStr">
        <is>
          <t>Khởi động Sprint 2, lập kế hoạch và thiết lập Risk Register.</t>
        </is>
      </c>
      <c r="E14" s="14" t="inlineStr">
        <is>
          <t>DuyVM4</t>
        </is>
      </c>
      <c r="F14" s="15" t="n">
        <v>0</v>
      </c>
      <c r="G14" s="5" t="n">
        <v>46286</v>
      </c>
      <c r="H14" s="5" t="n">
        <v>46287</v>
      </c>
      <c r="I14" s="6" t="n">
        <v>16</v>
      </c>
      <c r="J14" s="13" t="inlineStr">
        <is>
          <t>Kiểm soát tiến độ bàn giao và chuẩn bị testcase QC.</t>
        </is>
      </c>
      <c r="K14" s="13" t="n">
        <v>7</v>
      </c>
      <c r="L14" s="14" t="inlineStr">
        <is>
          <t>Do</t>
        </is>
      </c>
      <c r="M14" s="14" t="inlineStr">
        <is>
          <t>Project Management</t>
        </is>
      </c>
      <c r="N14" s="14" t="inlineStr">
        <is>
          <t>High</t>
        </is>
      </c>
    </row>
    <row r="15" ht="30" customHeight="1">
      <c r="B15" s="13" t="inlineStr">
        <is>
          <t>Requirement &amp; Analysis</t>
        </is>
      </c>
      <c r="C15" s="13" t="inlineStr">
        <is>
          <t>Phân tích yêu cầu nghiệp vụ 10 tính năng mới</t>
        </is>
      </c>
      <c r="D15" s="13" t="inlineStr">
        <is>
          <t>Phân tích nghiệp vụ 19 hạng mục và hoàn tất URD.</t>
        </is>
      </c>
      <c r="E15" s="14" t="inlineStr">
        <is>
          <t>NgocDH18</t>
        </is>
      </c>
      <c r="F15" s="15" t="n">
        <v>0</v>
      </c>
      <c r="G15" s="5" t="n">
        <v>46252</v>
      </c>
      <c r="H15" s="5" t="n">
        <v>46252</v>
      </c>
      <c r="I15" s="6" t="n">
        <v>8</v>
      </c>
      <c r="J15" s="13" t="inlineStr">
        <is>
          <t>Làm rõ luồng phân bổ AF, phân tách TDV, API Inside, bảng lương.</t>
        </is>
      </c>
      <c r="K15" s="13" t="n">
        <v>8</v>
      </c>
      <c r="L15" s="14" t="inlineStr">
        <is>
          <t>Do</t>
        </is>
      </c>
      <c r="M15" s="14" t="inlineStr">
        <is>
          <t>Requirement &amp; Design</t>
        </is>
      </c>
      <c r="N15" s="14" t="inlineStr">
        <is>
          <t>Critical</t>
        </is>
      </c>
    </row>
    <row r="16" ht="30" customHeight="1">
      <c r="B16" s="13" t="inlineStr">
        <is>
          <t>Requirement &amp; Analysis</t>
        </is>
      </c>
      <c r="C16" s="13" t="inlineStr">
        <is>
          <t>Phân tích yêu cầu 5 hạng mục nâng cấp &amp; điều chỉnh</t>
        </is>
      </c>
      <c r="D16" s="13" t="inlineStr">
        <is>
          <t>Phân tích nghiệp vụ 19 hạng mục và hoàn tất URD.</t>
        </is>
      </c>
      <c r="E16" s="14" t="inlineStr">
        <is>
          <t>NgocDH18</t>
        </is>
      </c>
      <c r="F16" s="15" t="n">
        <v>0</v>
      </c>
      <c r="G16" s="5" t="n">
        <v>46253</v>
      </c>
      <c r="H16" s="5" t="n">
        <v>46253</v>
      </c>
      <c r="I16" s="6" t="n">
        <v>8</v>
      </c>
      <c r="J16" s="13" t="inlineStr">
        <is>
          <t>Làm rõ khác biệt giữa luồng trả tháng v2.3 và trả trước.</t>
        </is>
      </c>
      <c r="K16" s="13" t="n">
        <v>7</v>
      </c>
      <c r="L16" s="14" t="inlineStr">
        <is>
          <t>Do</t>
        </is>
      </c>
      <c r="M16" s="14" t="inlineStr">
        <is>
          <t>Requirement &amp; Design</t>
        </is>
      </c>
      <c r="N16" s="14" t="inlineStr">
        <is>
          <t>High</t>
        </is>
      </c>
    </row>
    <row r="17" ht="30" customHeight="1">
      <c r="B17" s="13" t="inlineStr">
        <is>
          <t>Requirement &amp; Analysis</t>
        </is>
      </c>
      <c r="C17" s="13" t="inlineStr">
        <is>
          <t>Thiết kế Wireframe &amp; UI Mockup các màn hình mới và cập nhật</t>
        </is>
      </c>
      <c r="D17" s="13" t="inlineStr">
        <is>
          <t>Phân tích nghiệp vụ 19 hạng mục và hoàn tất URD.</t>
        </is>
      </c>
      <c r="E17" s="14" t="inlineStr">
        <is>
          <t>NgocDH18</t>
        </is>
      </c>
      <c r="F17" s="15" t="n">
        <v>0</v>
      </c>
      <c r="G17" s="5" t="n">
        <v>46259</v>
      </c>
      <c r="H17" s="5" t="n">
        <v>46259</v>
      </c>
      <c r="I17" s="6" t="n">
        <v>8</v>
      </c>
      <c r="J17" s="13" t="inlineStr">
        <is>
          <t>UI phân bổ AF, phân tách TDV, form sửa lương TDV, tab bảng lương trả trước, danh mục FOXSG</t>
        </is>
      </c>
      <c r="K17" s="13" t="n">
        <v>7</v>
      </c>
      <c r="L17" s="14" t="inlineStr">
        <is>
          <t>Do</t>
        </is>
      </c>
      <c r="M17" s="14" t="inlineStr">
        <is>
          <t>Requirement &amp; Design</t>
        </is>
      </c>
      <c r="N17" s="14" t="inlineStr">
        <is>
          <t>High</t>
        </is>
      </c>
    </row>
    <row r="18" ht="30" customHeight="1">
      <c r="B18" s="13" t="inlineStr">
        <is>
          <t>Requirement &amp; Analysis</t>
        </is>
      </c>
      <c r="C18" s="13" t="inlineStr">
        <is>
          <t>Viết PRD tổng thể và lấy Sign-off từ Stakeholder</t>
        </is>
      </c>
      <c r="D18" s="13" t="inlineStr">
        <is>
          <t>Phân tích nghiệp vụ 19 hạng mục và hoàn tất URD.</t>
        </is>
      </c>
      <c r="E18" s="14" t="inlineStr">
        <is>
          <t>NgocDH18</t>
        </is>
      </c>
      <c r="F18" s="15" t="n">
        <v>0</v>
      </c>
      <c r="G18" s="5" t="n">
        <v>46260</v>
      </c>
      <c r="H18" s="5" t="n">
        <v>46260</v>
      </c>
      <c r="I18" s="6" t="n">
        <v>8</v>
      </c>
      <c r="J18" s="13" t="inlineStr">
        <is>
          <t>Hoàn tất URD đầy đủ trong W1, là điều kiện tiên quyết cho QC Onboarding và DEV implement</t>
        </is>
      </c>
      <c r="K18" s="13" t="n">
        <v>8</v>
      </c>
      <c r="L18" s="14" t="inlineStr">
        <is>
          <t>Do</t>
        </is>
      </c>
      <c r="M18" s="14" t="inlineStr">
        <is>
          <t>Requirement &amp; Design</t>
        </is>
      </c>
      <c r="N18" s="14" t="inlineStr">
        <is>
          <t>Critical</t>
        </is>
      </c>
    </row>
    <row r="19" ht="30" customHeight="1">
      <c r="B19" s="13" t="inlineStr">
        <is>
          <t>Architecture &amp; Database</t>
        </is>
      </c>
      <c r="C19" s="13" t="inlineStr">
        <is>
          <t>Review kiến trúc Core lương v2.3 &amp; thiết lập môi trường Dev (AI-supported)</t>
        </is>
      </c>
      <c r="D19" s="13" t="inlineStr">
        <is>
          <t>Khảo sát kiến trúc hiện tại và thiết kế DB hóa đơn trả trước.</t>
        </is>
      </c>
      <c r="E19" s="14" t="inlineStr">
        <is>
          <t>SonNH103</t>
        </is>
      </c>
      <c r="F19" s="15" t="n">
        <v>0</v>
      </c>
      <c r="G19" s="5" t="n">
        <v>46251</v>
      </c>
      <c r="H19" s="5" t="n">
        <v>46251</v>
      </c>
      <c r="I19" s="6" t="n">
        <v>8</v>
      </c>
      <c r="J19" s="13" t="inlineStr">
        <is>
          <t>Đánh giá khả năng mở rộng Core tính lương và cấu hình AI Assistant cho project</t>
        </is>
      </c>
      <c r="K19" s="13" t="n">
        <v>7</v>
      </c>
      <c r="L19" s="14" t="inlineStr">
        <is>
          <t>Study</t>
        </is>
      </c>
      <c r="M19" s="14" t="inlineStr">
        <is>
          <t>Requirement &amp; Design</t>
        </is>
      </c>
      <c r="N19" s="14" t="inlineStr">
        <is>
          <t>High</t>
        </is>
      </c>
    </row>
    <row r="20" ht="30" customHeight="1">
      <c r="B20" s="13" t="inlineStr">
        <is>
          <t>Architecture &amp; Database</t>
        </is>
      </c>
      <c r="C20" s="13" t="inlineStr">
        <is>
          <t>Thiết kế Database cho dữ liệu hóa đơn trả trước và quan hệ bảng</t>
        </is>
      </c>
      <c r="D20" s="13" t="inlineStr">
        <is>
          <t>Khảo sát kiến trúc hiện tại và thiết kế DB hóa đơn trả trước.</t>
        </is>
      </c>
      <c r="E20" s="14" t="inlineStr">
        <is>
          <t>SonNH103</t>
        </is>
      </c>
      <c r="F20" s="15" t="n">
        <v>0</v>
      </c>
      <c r="G20" s="5" t="n">
        <v>46252</v>
      </c>
      <c r="H20" s="5" t="n">
        <v>46253</v>
      </c>
      <c r="I20" s="6" t="n">
        <v>16</v>
      </c>
      <c r="J20" s="13" t="inlineStr">
        <is>
          <t>Thiết kế các bảng lưu trữ hóa đơn trả trước, bảng phân bổ AF, phân tách TDV, khóa ngoại và quan hệ</t>
        </is>
      </c>
      <c r="K20" s="13" t="n">
        <v>8</v>
      </c>
      <c r="L20" s="14" t="inlineStr">
        <is>
          <t>Do</t>
        </is>
      </c>
      <c r="M20" s="14" t="inlineStr">
        <is>
          <t>Requirement &amp; Design</t>
        </is>
      </c>
      <c r="N20" s="14" t="inlineStr">
        <is>
          <t>Critical</t>
        </is>
      </c>
    </row>
    <row r="21" ht="30" customHeight="1">
      <c r="B21" s="13" t="inlineStr">
        <is>
          <t>Architecture &amp; Database</t>
        </is>
      </c>
      <c r="C21" s="13" t="inlineStr">
        <is>
          <t>Tạo DB Migration script và thiết lập dữ liệu mẫu môi trường Dev</t>
        </is>
      </c>
      <c r="D21" s="13" t="inlineStr">
        <is>
          <t>Khảo sát kiến trúc hiện tại và thiết kế DB hóa đơn trả trước.</t>
        </is>
      </c>
      <c r="E21" s="14" t="inlineStr">
        <is>
          <t>SonNH103</t>
        </is>
      </c>
      <c r="F21" s="15" t="n">
        <v>0</v>
      </c>
      <c r="G21" s="5" t="n">
        <v>46254</v>
      </c>
      <c r="H21" s="5" t="n">
        <v>46255</v>
      </c>
      <c r="I21" s="6" t="n">
        <v>16</v>
      </c>
      <c r="J21" s="13" t="inlineStr">
        <is>
          <t>Chạy migration trên DB Dev, verify index tối ưu hiệu năng cho truy vấn lớn</t>
        </is>
      </c>
      <c r="K21" s="13" t="n">
        <v>7</v>
      </c>
      <c r="L21" s="14" t="inlineStr">
        <is>
          <t>Do</t>
        </is>
      </c>
      <c r="M21" s="14" t="inlineStr">
        <is>
          <t>Coding</t>
        </is>
      </c>
      <c r="N21" s="14" t="inlineStr">
        <is>
          <t>High</t>
        </is>
      </c>
    </row>
    <row r="22" ht="36.75" customHeight="1">
      <c r="B22" s="9" t="inlineStr">
        <is>
          <t>EPIC-1. Quản lý phân bổ và giá vốn cho Kế toán (AF)</t>
        </is>
      </c>
      <c r="F22" s="10" t="n"/>
      <c r="G22" s="11">
        <f>MIN(G23:G28)</f>
        <v/>
      </c>
      <c r="H22" s="11">
        <f>MAX(H23:H28)</f>
        <v/>
      </c>
      <c r="I22" s="12">
        <f>SUM(I23:I28)</f>
        <v/>
      </c>
      <c r="J22" s="10" t="n"/>
    </row>
    <row r="23" ht="30" customHeight="1">
      <c r="B23" s="13" t="inlineStr">
        <is>
          <t>Kế toán - Phân bổ</t>
        </is>
      </c>
      <c r="C23" s="13" t="inlineStr">
        <is>
          <t>Xây dựng Backend API khởi tạo dữ liệu phân bổ gốc cho kế toán (AI-assisted)</t>
        </is>
      </c>
      <c r="D23" s="13" t="inlineStr">
        <is>
          <t>Khởi tạo và cấu hình dữ liệu phân bổ gốc cho Kế toán (AF).</t>
        </is>
      </c>
      <c r="E23" s="14" t="inlineStr">
        <is>
          <t>SonNH103</t>
        </is>
      </c>
      <c r="F23" s="15" t="n">
        <v>0</v>
      </c>
      <c r="G23" s="5" t="n">
        <v>46258</v>
      </c>
      <c r="H23" s="5" t="n">
        <v>46258</v>
      </c>
      <c r="I23" s="6" t="n">
        <v>8</v>
      </c>
      <c r="J23" s="13" t="inlineStr">
        <is>
          <t>API validate kỳ lương, tỷ lệ và giá trị phân bổ ban đầu.</t>
        </is>
      </c>
      <c r="K23" s="13" t="n">
        <v>7</v>
      </c>
      <c r="L23" s="14" t="inlineStr">
        <is>
          <t>Do</t>
        </is>
      </c>
      <c r="M23" s="14" t="inlineStr">
        <is>
          <t>Coding</t>
        </is>
      </c>
      <c r="N23" s="14" t="inlineStr">
        <is>
          <t>High</t>
        </is>
      </c>
    </row>
    <row r="24" ht="30" customHeight="1">
      <c r="B24" s="13" t="inlineStr">
        <is>
          <t>Kế toán - Phân bổ</t>
        </is>
      </c>
      <c r="C24" s="13" t="inlineStr">
        <is>
          <t>Phát triển giao diện màn hình khởi tạo phân bổ cho kế toán</t>
        </is>
      </c>
      <c r="D24" s="13" t="inlineStr">
        <is>
          <t>Khởi tạo và cấu hình dữ liệu phân bổ gốc cho Kế toán (AF).</t>
        </is>
      </c>
      <c r="E24" s="14" t="inlineStr">
        <is>
          <t>SonNH103</t>
        </is>
      </c>
      <c r="F24" s="15" t="n">
        <v>0</v>
      </c>
      <c r="G24" s="5" t="n">
        <v>46259</v>
      </c>
      <c r="H24" s="5" t="n">
        <v>46259</v>
      </c>
      <c r="I24" s="6" t="n">
        <v>8</v>
      </c>
      <c r="J24" s="13" t="inlineStr">
        <is>
          <t>Giao diện chọn kỳ, nhập thông số và preview phân bổ.</t>
        </is>
      </c>
      <c r="K24" s="13" t="n">
        <v>7</v>
      </c>
      <c r="L24" s="14" t="inlineStr">
        <is>
          <t>Do</t>
        </is>
      </c>
      <c r="M24" s="14" t="inlineStr">
        <is>
          <t>Coding</t>
        </is>
      </c>
      <c r="N24" s="14" t="inlineStr">
        <is>
          <t>High</t>
        </is>
      </c>
    </row>
    <row r="25" ht="30" customHeight="1">
      <c r="B25" s="13" t="inlineStr">
        <is>
          <t>Kế toán - Phân bổ</t>
        </is>
      </c>
      <c r="C25" s="13" t="inlineStr">
        <is>
          <t>Cập nhật màn hình Quản lý giá vốn Cloudhub hiển thị hóa đơn trả trước</t>
        </is>
      </c>
      <c r="D25" s="13" t="inlineStr">
        <is>
          <t>Khởi tạo và cấu hình dữ liệu phân bổ gốc cho Kế toán (AF).</t>
        </is>
      </c>
      <c r="E25" s="14" t="inlineStr">
        <is>
          <t>SonNH103</t>
        </is>
      </c>
      <c r="F25" s="15" t="n">
        <v>0</v>
      </c>
      <c r="G25" s="5" t="n">
        <v>46260</v>
      </c>
      <c r="H25" s="5" t="n">
        <v>46260</v>
      </c>
      <c r="I25" s="6" t="n">
        <v>8</v>
      </c>
      <c r="J25" s="13" t="inlineStr">
        <is>
          <t>Bổ sung tab/filter phân loại trả tháng và trả trước.</t>
        </is>
      </c>
      <c r="K25" s="13" t="n">
        <v>6</v>
      </c>
      <c r="L25" s="14" t="inlineStr">
        <is>
          <t>Do</t>
        </is>
      </c>
      <c r="M25" s="14" t="inlineStr">
        <is>
          <t>Coding</t>
        </is>
      </c>
      <c r="N25" s="14" t="inlineStr">
        <is>
          <t>Medium</t>
        </is>
      </c>
    </row>
    <row r="26" ht="30" customHeight="1">
      <c r="B26" s="13" t="inlineStr">
        <is>
          <t>Kế toán - Giá vốn &amp; Job</t>
        </is>
      </c>
      <c r="C26" s="13" t="inlineStr">
        <is>
          <t>Phát triển chức năng điều chỉnh thông tin phân bổ Giá vốn cho kế toán</t>
        </is>
      </c>
      <c r="D26" s="13" t="inlineStr">
        <is>
          <t>Điều chỉnh giá vốn, lập Job khóa dữ liệu và Unit Test Kế toán.</t>
        </is>
      </c>
      <c r="E26" s="14" t="inlineStr">
        <is>
          <t>SonNH103</t>
        </is>
      </c>
      <c r="F26" s="15" t="n">
        <v>0</v>
      </c>
      <c r="G26" s="5" t="n">
        <v>46261</v>
      </c>
      <c r="H26" s="5" t="n">
        <v>46261</v>
      </c>
      <c r="I26" s="6" t="n">
        <v>8</v>
      </c>
      <c r="J26" s="13" t="inlineStr">
        <is>
          <t>Sửa giá vốn import kèm lưu log audit trail lịch sử.</t>
        </is>
      </c>
      <c r="K26" s="13" t="n">
        <v>7</v>
      </c>
      <c r="L26" s="14" t="inlineStr">
        <is>
          <t>Do</t>
        </is>
      </c>
      <c r="M26" s="14" t="inlineStr">
        <is>
          <t>Coding</t>
        </is>
      </c>
      <c r="N26" s="14" t="inlineStr">
        <is>
          <t>High</t>
        </is>
      </c>
    </row>
    <row r="27" ht="30" customHeight="1">
      <c r="B27" s="13" t="inlineStr">
        <is>
          <t>Kế toán - Giá vốn &amp; Job</t>
        </is>
      </c>
      <c r="C27" s="13" t="inlineStr">
        <is>
          <t>Phát triển Background Job tự động khóa dữ liệu phân bổ theo kỳ lương</t>
        </is>
      </c>
      <c r="D27" s="13" t="inlineStr">
        <is>
          <t>Điều chỉnh giá vốn, lập Job khóa dữ liệu và Unit Test Kế toán.</t>
        </is>
      </c>
      <c r="E27" s="14" t="inlineStr">
        <is>
          <t>SonNH103</t>
        </is>
      </c>
      <c r="F27" s="15" t="n">
        <v>0</v>
      </c>
      <c r="G27" s="5" t="n">
        <v>46262</v>
      </c>
      <c r="H27" s="5" t="n">
        <v>46262</v>
      </c>
      <c r="I27" s="6" t="n">
        <v>8</v>
      </c>
      <c r="J27" s="13" t="inlineStr">
        <is>
          <t>Cron job khóa kỳ tự động, chặn sửa sau deadline.</t>
        </is>
      </c>
      <c r="K27" s="13" t="n">
        <v>7</v>
      </c>
      <c r="L27" s="14" t="inlineStr">
        <is>
          <t>Do</t>
        </is>
      </c>
      <c r="M27" s="14" t="inlineStr">
        <is>
          <t>Coding</t>
        </is>
      </c>
      <c r="N27" s="14" t="inlineStr">
        <is>
          <t>High</t>
        </is>
      </c>
    </row>
    <row r="28" ht="30" customHeight="1">
      <c r="B28" s="13" t="inlineStr">
        <is>
          <t>Kế toán - Giá vốn &amp; Job</t>
        </is>
      </c>
      <c r="C28" s="13" t="inlineStr">
        <is>
          <t>Viết Unit Test chức năng phân bổ và giá vốn cho kế toán (AI-generated tests)</t>
        </is>
      </c>
      <c r="D28" s="13" t="inlineStr">
        <is>
          <t>Điều chỉnh giá vốn, lập Job khóa dữ liệu và Unit Test Kế toán.</t>
        </is>
      </c>
      <c r="E28" s="14" t="inlineStr">
        <is>
          <t>SonNH103</t>
        </is>
      </c>
      <c r="F28" s="15" t="n">
        <v>0</v>
      </c>
      <c r="G28" s="5" t="n">
        <v>46268</v>
      </c>
      <c r="H28" s="5" t="n">
        <v>46268</v>
      </c>
      <c r="I28" s="6" t="n">
        <v>8</v>
      </c>
      <c r="J28" s="13" t="inlineStr">
        <is>
          <t>Unit test tự động cho hàm phân bổ và validate giá vốn.</t>
        </is>
      </c>
      <c r="K28" s="13" t="n">
        <v>7</v>
      </c>
      <c r="L28" s="14" t="inlineStr">
        <is>
          <t>Do</t>
        </is>
      </c>
      <c r="M28" s="14" t="inlineStr">
        <is>
          <t>Coding</t>
        </is>
      </c>
      <c r="N28" s="14" t="inlineStr">
        <is>
          <t>High</t>
        </is>
      </c>
    </row>
    <row r="29" ht="36.75" customHeight="1">
      <c r="B29" s="9" t="inlineStr">
        <is>
          <t>EPIC-2. Tích hợp hóa đơn Cloudhub và Danh mục FOXSG</t>
        </is>
      </c>
      <c r="F29" s="10" t="n"/>
      <c r="G29" s="11">
        <f>MIN(G30:G33)</f>
        <v/>
      </c>
      <c r="H29" s="11">
        <f>MAX(H30:H33)</f>
        <v/>
      </c>
      <c r="I29" s="12">
        <f>SUM(I30:I33)</f>
        <v/>
      </c>
      <c r="J29" s="10" t="n"/>
    </row>
    <row r="30" ht="30" customHeight="1">
      <c r="B30" s="13" t="inlineStr">
        <is>
          <t>Tích hợp Billing Inside</t>
        </is>
      </c>
      <c r="C30" s="13" t="inlineStr">
        <is>
          <t>Xây dựng API Client &amp; Service tiếp nhận đồng bộ hóa đơn trả trước từ Inside</t>
        </is>
      </c>
      <c r="D30" s="13" t="inlineStr">
        <is>
          <t>Tích hợp API đồng bộ hóa đơn Cloudhub từ Billing Inside về SAL.</t>
        </is>
      </c>
      <c r="E30" s="14" t="inlineStr">
        <is>
          <t>SonNH103</t>
        </is>
      </c>
      <c r="F30" s="15" t="n">
        <v>0</v>
      </c>
      <c r="G30" s="5" t="n">
        <v>46269</v>
      </c>
      <c r="H30" s="5" t="n">
        <v>46269</v>
      </c>
      <c r="I30" s="6" t="n">
        <v>8</v>
      </c>
      <c r="J30" s="13" t="inlineStr">
        <is>
          <t>API auth token, retry mechanism khi timeout Inside.</t>
        </is>
      </c>
      <c r="K30" s="13" t="n">
        <v>8</v>
      </c>
      <c r="L30" s="14" t="inlineStr">
        <is>
          <t>Do</t>
        </is>
      </c>
      <c r="M30" s="14" t="inlineStr">
        <is>
          <t>Coding</t>
        </is>
      </c>
      <c r="N30" s="14" t="inlineStr">
        <is>
          <t>Critical</t>
        </is>
      </c>
    </row>
    <row r="31" ht="30" customHeight="1">
      <c r="B31" s="13" t="inlineStr">
        <is>
          <t>Tích hợp Billing Inside</t>
        </is>
      </c>
      <c r="C31" s="13" t="inlineStr">
        <is>
          <t>Xây dựng cơ chế Validate và lưu trữ hóa đơn Cloudhub trả trước vào SAL</t>
        </is>
      </c>
      <c r="D31" s="13" t="inlineStr">
        <is>
          <t>Tích hợp API đồng bộ hóa đơn Cloudhub từ Billing Inside về SAL.</t>
        </is>
      </c>
      <c r="E31" s="14" t="inlineStr">
        <is>
          <t>SonNH103</t>
        </is>
      </c>
      <c r="F31" s="15" t="n">
        <v>0</v>
      </c>
      <c r="G31" s="5" t="n">
        <v>46272</v>
      </c>
      <c r="H31" s="5" t="n">
        <v>46272</v>
      </c>
      <c r="I31" s="6" t="n">
        <v>8</v>
      </c>
      <c r="J31" s="13" t="inlineStr">
        <is>
          <t>Check trùng mã hóa đơn, mapping thời hạn và chu kỳ.</t>
        </is>
      </c>
      <c r="K31" s="13" t="n">
        <v>7</v>
      </c>
      <c r="L31" s="14" t="inlineStr">
        <is>
          <t>Do</t>
        </is>
      </c>
      <c r="M31" s="14" t="inlineStr">
        <is>
          <t>Coding</t>
        </is>
      </c>
      <c r="N31" s="14" t="inlineStr">
        <is>
          <t>High</t>
        </is>
      </c>
    </row>
    <row r="32" ht="30" customHeight="1">
      <c r="B32" s="13" t="inlineStr">
        <is>
          <t>Danh mục FOXSG</t>
        </is>
      </c>
      <c r="C32" s="13" t="inlineStr">
        <is>
          <t>Thiết kế Backend API quản lý danh mục hợp đồng FOXSG (AI boilerplate)</t>
        </is>
      </c>
      <c r="D32" s="13" t="inlineStr">
        <is>
          <t>Quản lý, tìm kiếm và đồng bộ danh mục hợp đồng FOXSG.</t>
        </is>
      </c>
      <c r="E32" s="14" t="inlineStr">
        <is>
          <t>SonNH103</t>
        </is>
      </c>
      <c r="F32" s="15" t="n">
        <v>0</v>
      </c>
      <c r="G32" s="5" t="n">
        <v>46273</v>
      </c>
      <c r="H32" s="5" t="n">
        <v>46273</v>
      </c>
      <c r="I32" s="6" t="n">
        <v>8</v>
      </c>
      <c r="J32" s="13" t="inlineStr">
        <is>
          <t>CRUD danh mục FOXSG, tìm kiếm, lọc và phân quyền.</t>
        </is>
      </c>
      <c r="K32" s="13" t="n">
        <v>6</v>
      </c>
      <c r="L32" s="14" t="inlineStr">
        <is>
          <t>Do</t>
        </is>
      </c>
      <c r="M32" s="14" t="inlineStr">
        <is>
          <t>Coding</t>
        </is>
      </c>
      <c r="N32" s="14" t="inlineStr">
        <is>
          <t>Medium</t>
        </is>
      </c>
    </row>
    <row r="33" ht="30" customHeight="1">
      <c r="B33" s="13" t="inlineStr">
        <is>
          <t>Danh mục FOXSG</t>
        </is>
      </c>
      <c r="C33" s="13" t="inlineStr">
        <is>
          <t>Xây dựng UI quản lý và tìm kiếm danh mục hợp đồng FOXSG</t>
        </is>
      </c>
      <c r="D33" s="13" t="inlineStr">
        <is>
          <t>Quản lý, tìm kiếm và đồng bộ danh mục hợp đồng FOXSG.</t>
        </is>
      </c>
      <c r="E33" s="14" t="inlineStr">
        <is>
          <t>SonNH103</t>
        </is>
      </c>
      <c r="F33" s="15" t="n">
        <v>0</v>
      </c>
      <c r="G33" s="5" t="n">
        <v>46274</v>
      </c>
      <c r="H33" s="5" t="n">
        <v>46274</v>
      </c>
      <c r="I33" s="6" t="n">
        <v>8</v>
      </c>
      <c r="J33" s="13" t="inlineStr">
        <is>
          <t>Giao diện danh sách và form thêm/sửa hợp đồng FOXSG.</t>
        </is>
      </c>
      <c r="K33" s="13" t="n">
        <v>6</v>
      </c>
      <c r="L33" s="14" t="inlineStr">
        <is>
          <t>Do</t>
        </is>
      </c>
      <c r="M33" s="14" t="inlineStr">
        <is>
          <t>Coding</t>
        </is>
      </c>
      <c r="N33" s="14" t="inlineStr">
        <is>
          <t>Medium</t>
        </is>
      </c>
    </row>
    <row r="34" ht="36.75" customHeight="1">
      <c r="B34" s="9" t="inlineStr">
        <is>
          <t>EPIC-3. Nghiệp vụ phân tách hóa đơn và điều chỉnh lương TDV</t>
        </is>
      </c>
      <c r="F34" s="10" t="n"/>
      <c r="G34" s="11">
        <f>MIN(G35:G40)</f>
        <v/>
      </c>
      <c r="H34" s="11">
        <f>MAX(H35:H40)</f>
        <v/>
      </c>
      <c r="I34" s="12">
        <f>SUM(I35:I40)</f>
        <v/>
      </c>
      <c r="J34" s="10" t="n"/>
    </row>
    <row r="35" ht="30" customHeight="1">
      <c r="B35" s="13" t="inlineStr">
        <is>
          <t>TDV - Phân tách hóa đơn</t>
        </is>
      </c>
      <c r="C35" s="13" t="inlineStr">
        <is>
          <t>Xây dựng API phân tách doanh thu &amp; giá vốn hóa đơn trả trước cho TDV</t>
        </is>
      </c>
      <c r="D35" s="13" t="inlineStr">
        <is>
          <t>Phân tách doanh thu/giá vốn hóa đơn trả trước cho TDV (UI &amp; Excel).</t>
        </is>
      </c>
      <c r="E35" s="14" t="inlineStr">
        <is>
          <t>SonNH103</t>
        </is>
      </c>
      <c r="F35" s="15" t="n">
        <v>0</v>
      </c>
      <c r="G35" s="5" t="n">
        <v>46275</v>
      </c>
      <c r="H35" s="5" t="n">
        <v>46275</v>
      </c>
      <c r="I35" s="6" t="n">
        <v>8</v>
      </c>
      <c r="J35" s="13" t="inlineStr">
        <is>
          <t>Bóc tách doanh thu theo chu kỳ và tỷ lệ bán hàng.</t>
        </is>
      </c>
      <c r="K35" s="13" t="n">
        <v>8</v>
      </c>
      <c r="L35" s="14" t="inlineStr">
        <is>
          <t>Do</t>
        </is>
      </c>
      <c r="M35" s="14" t="inlineStr">
        <is>
          <t>Coding</t>
        </is>
      </c>
      <c r="N35" s="14" t="inlineStr">
        <is>
          <t>Critical</t>
        </is>
      </c>
    </row>
    <row r="36" ht="30" customHeight="1">
      <c r="B36" s="13" t="inlineStr">
        <is>
          <t>TDV - Phân tách hóa đơn</t>
        </is>
      </c>
      <c r="C36" s="13" t="inlineStr">
        <is>
          <t>Xây dựng UI popup/màn hình phân tách hóa đơn trả trước cho TDV</t>
        </is>
      </c>
      <c r="D36" s="13" t="inlineStr">
        <is>
          <t>Phân tách doanh thu/giá vốn hóa đơn trả trước cho TDV (UI &amp; Excel).</t>
        </is>
      </c>
      <c r="E36" s="14" t="inlineStr">
        <is>
          <t>SonNH103</t>
        </is>
      </c>
      <c r="F36" s="15" t="n">
        <v>0</v>
      </c>
      <c r="G36" s="5" t="n">
        <v>46276</v>
      </c>
      <c r="H36" s="5" t="n">
        <v>46276</v>
      </c>
      <c r="I36" s="6" t="n">
        <v>8</v>
      </c>
      <c r="J36" s="13" t="inlineStr">
        <is>
          <t>Giao diện chia doanh số và giá vốn theo dòng cho TDV.</t>
        </is>
      </c>
      <c r="K36" s="13" t="n">
        <v>7</v>
      </c>
      <c r="L36" s="14" t="inlineStr">
        <is>
          <t>Do</t>
        </is>
      </c>
      <c r="M36" s="14" t="inlineStr">
        <is>
          <t>Coding</t>
        </is>
      </c>
      <c r="N36" s="14" t="inlineStr">
        <is>
          <t>High</t>
        </is>
      </c>
    </row>
    <row r="37" ht="30" customHeight="1">
      <c r="B37" s="13" t="inlineStr">
        <is>
          <t>TDV - Phân tách hóa đơn</t>
        </is>
      </c>
      <c r="C37" s="13" t="inlineStr">
        <is>
          <t>Phát triển chức năng Import Excel phân tách hóa đơn trả trước cho TDV</t>
        </is>
      </c>
      <c r="D37" s="13" t="inlineStr">
        <is>
          <t>Phân tách doanh thu/giá vốn hóa đơn trả trước cho TDV (UI &amp; Excel).</t>
        </is>
      </c>
      <c r="E37" s="14" t="inlineStr">
        <is>
          <t>SonNH103</t>
        </is>
      </c>
      <c r="F37" s="15" t="n">
        <v>0</v>
      </c>
      <c r="G37" s="5" t="n">
        <v>46279</v>
      </c>
      <c r="H37" s="5" t="n">
        <v>46279</v>
      </c>
      <c r="I37" s="6" t="n">
        <v>8</v>
      </c>
      <c r="J37" s="13" t="inlineStr">
        <is>
          <t>Template Excel, validate hàng loạt, báo lỗi từng dòng.</t>
        </is>
      </c>
      <c r="K37" s="13" t="n">
        <v>7</v>
      </c>
      <c r="L37" s="14" t="inlineStr">
        <is>
          <t>Do</t>
        </is>
      </c>
      <c r="M37" s="14" t="inlineStr">
        <is>
          <t>Coding</t>
        </is>
      </c>
      <c r="N37" s="14" t="inlineStr">
        <is>
          <t>High</t>
        </is>
      </c>
    </row>
    <row r="38" ht="30" customHeight="1">
      <c r="B38" s="13" t="inlineStr">
        <is>
          <t>TDV - Phân tách hóa đơn</t>
        </is>
      </c>
      <c r="C38" s="13" t="inlineStr">
        <is>
          <t>Điều chỉnh logic &amp; UI phân tách hóa đơn trả tháng cho TDV</t>
        </is>
      </c>
      <c r="D38" s="13" t="inlineStr">
        <is>
          <t>Phân tách doanh thu/giá vốn hóa đơn trả trước cho TDV (UI &amp; Excel).</t>
        </is>
      </c>
      <c r="E38" s="14" t="inlineStr">
        <is>
          <t>SonNH103</t>
        </is>
      </c>
      <c r="F38" s="15" t="n">
        <v>0</v>
      </c>
      <c r="G38" s="5" t="n">
        <v>46280</v>
      </c>
      <c r="H38" s="5" t="n">
        <v>46280</v>
      </c>
      <c r="I38" s="6" t="n">
        <v>4</v>
      </c>
      <c r="J38" s="13" t="inlineStr">
        <is>
          <t>Đồng bộ giao diện và logic phân tách trả tháng/trả trước.</t>
        </is>
      </c>
      <c r="K38" s="13" t="n">
        <v>6</v>
      </c>
      <c r="L38" s="14" t="inlineStr">
        <is>
          <t>Do</t>
        </is>
      </c>
      <c r="M38" s="14" t="inlineStr">
        <is>
          <t>Coding</t>
        </is>
      </c>
      <c r="N38" s="14" t="inlineStr">
        <is>
          <t>Medium</t>
        </is>
      </c>
    </row>
    <row r="39" ht="30" customHeight="1">
      <c r="B39" s="13" t="inlineStr">
        <is>
          <t>TDV - Điều chỉnh lương</t>
        </is>
      </c>
      <c r="C39" s="13" t="inlineStr">
        <is>
          <t>Phát triển tính năng load danh sách và cập nhật thông tin tính lương cho TDV</t>
        </is>
      </c>
      <c r="D39" s="13" t="inlineStr">
        <is>
          <t>Điều chỉnh thông tin tính lương TDV và Unit Test phân hệ TDV.</t>
        </is>
      </c>
      <c r="E39" s="14" t="inlineStr">
        <is>
          <t>SonNH103</t>
        </is>
      </c>
      <c r="F39" s="15" t="n">
        <v>0</v>
      </c>
      <c r="G39" s="5" t="n">
        <v>46280</v>
      </c>
      <c r="H39" s="5" t="n">
        <v>46280</v>
      </c>
      <c r="I39" s="6" t="n">
        <v>4</v>
      </c>
      <c r="J39" s="13" t="inlineStr">
        <is>
          <t>Cho phép TDV/BOD chỉnh sửa trực tiếp thông số lương.</t>
        </is>
      </c>
      <c r="K39" s="13" t="n">
        <v>7</v>
      </c>
      <c r="L39" s="14" t="inlineStr">
        <is>
          <t>Do</t>
        </is>
      </c>
      <c r="M39" s="14" t="inlineStr">
        <is>
          <t>Coding</t>
        </is>
      </c>
      <c r="N39" s="14" t="inlineStr">
        <is>
          <t>High</t>
        </is>
      </c>
    </row>
    <row r="40" ht="30" customHeight="1">
      <c r="B40" s="13" t="inlineStr">
        <is>
          <t>TDV - Điều chỉnh lương</t>
        </is>
      </c>
      <c r="C40" s="13" t="inlineStr">
        <is>
          <t>Viết Unit Test chức năng phân bổ và điều chỉnh lương cho TDV (AI-generated)</t>
        </is>
      </c>
      <c r="D40" s="13" t="inlineStr">
        <is>
          <t>Điều chỉnh thông tin tính lương TDV và Unit Test phân hệ TDV.</t>
        </is>
      </c>
      <c r="E40" s="14" t="inlineStr">
        <is>
          <t>SonNH103</t>
        </is>
      </c>
      <c r="F40" s="15" t="n">
        <v>0</v>
      </c>
      <c r="G40" s="5" t="n">
        <v>46281</v>
      </c>
      <c r="H40" s="5" t="n">
        <v>46281</v>
      </c>
      <c r="I40" s="6" t="n">
        <v>4</v>
      </c>
      <c r="J40" s="13" t="inlineStr">
        <is>
          <t>Unit test tự động cho hàm phân bổ và validate giá vốn.</t>
        </is>
      </c>
      <c r="K40" s="13" t="n">
        <v>7</v>
      </c>
      <c r="L40" s="14" t="inlineStr">
        <is>
          <t>Do</t>
        </is>
      </c>
      <c r="M40" s="14" t="inlineStr">
        <is>
          <t>Coding</t>
        </is>
      </c>
      <c r="N40" s="14" t="inlineStr">
        <is>
          <t>High</t>
        </is>
      </c>
    </row>
    <row r="41" ht="36.75" customHeight="1">
      <c r="B41" s="9" t="inlineStr">
        <is>
          <t>EPIC-4. Bảng lương và Core tính lương hóa đơn Cloudhub</t>
        </is>
      </c>
      <c r="F41" s="10" t="n"/>
      <c r="G41" s="11">
        <f>MIN(G42:G46)</f>
        <v/>
      </c>
      <c r="H41" s="11">
        <f>MAX(H42:H46)</f>
        <v/>
      </c>
      <c r="I41" s="12">
        <f>SUM(I42:I46)</f>
        <v/>
      </c>
      <c r="J41" s="10" t="n"/>
    </row>
    <row r="42" ht="30" customHeight="1">
      <c r="B42" s="13" t="inlineStr">
        <is>
          <t>Core lương - Logic tính toán</t>
        </is>
      </c>
      <c r="C42" s="13" t="inlineStr">
        <is>
          <t>Điều chỉnh Core lương hóa đơn trả tháng Cloudhub theo quy tắc mới</t>
        </is>
      </c>
      <c r="D42" s="13" t="inlineStr">
        <is>
          <t>Nâng cấp Core tính lương trả tháng và bổ sung giải thuật trả trước.</t>
        </is>
      </c>
      <c r="E42" s="14" t="inlineStr">
        <is>
          <t>SonNH103</t>
        </is>
      </c>
      <c r="F42" s="15" t="n">
        <v>0</v>
      </c>
      <c r="G42" s="5" t="n">
        <v>46281</v>
      </c>
      <c r="H42" s="5" t="n">
        <v>46281</v>
      </c>
      <c r="I42" s="6" t="n">
        <v>4</v>
      </c>
      <c r="J42" s="13" t="inlineStr">
        <is>
          <t>Tinh chỉnh điều kiện xét mốc và công thức trả tháng.</t>
        </is>
      </c>
      <c r="K42" s="13" t="n">
        <v>7</v>
      </c>
      <c r="L42" s="14" t="inlineStr">
        <is>
          <t>Do</t>
        </is>
      </c>
      <c r="M42" s="14" t="inlineStr">
        <is>
          <t>Coding</t>
        </is>
      </c>
      <c r="N42" s="14" t="inlineStr">
        <is>
          <t>High</t>
        </is>
      </c>
    </row>
    <row r="43" ht="30" customHeight="1">
      <c r="B43" s="13" t="inlineStr">
        <is>
          <t>Core lương - Logic tính toán</t>
        </is>
      </c>
      <c r="C43" s="13" t="inlineStr">
        <is>
          <t>Phát triển nhánh Core lương hóa đơn trả trước Cloudhub (bóc tách chu kỳ)</t>
        </is>
      </c>
      <c r="D43" s="13" t="inlineStr">
        <is>
          <t>Nâng cấp Core tính lương trả tháng và bổ sung giải thuật trả trước.</t>
        </is>
      </c>
      <c r="E43" s="14" t="inlineStr">
        <is>
          <t>SonNH103</t>
        </is>
      </c>
      <c r="F43" s="15" t="n">
        <v>0</v>
      </c>
      <c r="G43" s="5" t="n">
        <v>46282</v>
      </c>
      <c r="H43" s="5" t="n">
        <v>46282</v>
      </c>
      <c r="I43" s="6" t="n">
        <v>8</v>
      </c>
      <c r="J43" s="13" t="inlineStr">
        <is>
          <t>Giải thuật bóc tách doanh thu theo chu kỳ &gt;12 tháng.</t>
        </is>
      </c>
      <c r="K43" s="13" t="n">
        <v>8</v>
      </c>
      <c r="L43" s="14" t="inlineStr">
        <is>
          <t>Do</t>
        </is>
      </c>
      <c r="M43" s="14" t="inlineStr">
        <is>
          <t>Coding</t>
        </is>
      </c>
      <c r="N43" s="14" t="inlineStr">
        <is>
          <t>Critical</t>
        </is>
      </c>
    </row>
    <row r="44" ht="30" customHeight="1">
      <c r="B44" s="13" t="inlineStr">
        <is>
          <t>Bảng lương &amp; Export Excel</t>
        </is>
      </c>
      <c r="C44" s="13" t="inlineStr">
        <is>
          <t>Xây dựng tab hiển thị và bảng lương hóa đơn trả trước Cloudhub</t>
        </is>
      </c>
      <c r="D44" s="13" t="inlineStr">
        <is>
          <t>Bảng lương hóa đơn trả trước, xuất Excel và Unit Test Core lương.</t>
        </is>
      </c>
      <c r="E44" s="14" t="inlineStr">
        <is>
          <t>SonNH103</t>
        </is>
      </c>
      <c r="F44" s="15" t="n">
        <v>0</v>
      </c>
      <c r="G44" s="5" t="n">
        <v>46283</v>
      </c>
      <c r="H44" s="5" t="n">
        <v>46283</v>
      </c>
      <c r="I44" s="6" t="n">
        <v>4</v>
      </c>
      <c r="J44" s="13" t="inlineStr">
        <is>
          <t>Tab bảng lương sản phẩm riêng, hiển thị chi tiết cột tính.</t>
        </is>
      </c>
      <c r="K44" s="13" t="n">
        <v>7</v>
      </c>
      <c r="L44" s="14" t="inlineStr">
        <is>
          <t>Do</t>
        </is>
      </c>
      <c r="M44" s="14" t="inlineStr">
        <is>
          <t>Coding</t>
        </is>
      </c>
      <c r="N44" s="14" t="inlineStr">
        <is>
          <t>High</t>
        </is>
      </c>
    </row>
    <row r="45" ht="30" customHeight="1">
      <c r="B45" s="13" t="inlineStr">
        <is>
          <t>Bảng lương &amp; Export Excel</t>
        </is>
      </c>
      <c r="C45" s="13" t="inlineStr">
        <is>
          <t>Phát triển tính năng xuất Excel bảng lương hóa đơn trả trước Cloudhub</t>
        </is>
      </c>
      <c r="D45" s="13" t="inlineStr">
        <is>
          <t>Bảng lương hóa đơn trả trước, xuất Excel và Unit Test Core lương.</t>
        </is>
      </c>
      <c r="E45" s="14" t="inlineStr">
        <is>
          <t>SonNH103</t>
        </is>
      </c>
      <c r="F45" s="15" t="n">
        <v>0</v>
      </c>
      <c r="G45" s="5" t="n">
        <v>46283</v>
      </c>
      <c r="H45" s="5" t="n">
        <v>46283</v>
      </c>
      <c r="I45" s="6" t="n">
        <v>4</v>
      </c>
      <c r="J45" s="13" t="inlineStr">
        <is>
          <t>Template xuất Excel đối soát chuẩn format.</t>
        </is>
      </c>
      <c r="K45" s="13" t="n">
        <v>7</v>
      </c>
      <c r="L45" s="14" t="inlineStr">
        <is>
          <t>Do</t>
        </is>
      </c>
      <c r="M45" s="14" t="inlineStr">
        <is>
          <t>Coding</t>
        </is>
      </c>
      <c r="N45" s="14" t="inlineStr">
        <is>
          <t>High</t>
        </is>
      </c>
    </row>
    <row r="46" ht="30" customHeight="1">
      <c r="B46" s="13" t="inlineStr">
        <is>
          <t>Bảng lương &amp; Export Excel</t>
        </is>
      </c>
      <c r="C46" s="13" t="inlineStr">
        <is>
          <t>Viết Unit Test chức năng bảng lương và giải thuật Core lương</t>
        </is>
      </c>
      <c r="D46" s="13" t="inlineStr">
        <is>
          <t>Bảng lương hóa đơn trả trước, xuất Excel và Unit Test Core lương.</t>
        </is>
      </c>
      <c r="E46" s="14" t="inlineStr">
        <is>
          <t>SonNH103</t>
        </is>
      </c>
      <c r="F46" s="15" t="n">
        <v>0</v>
      </c>
      <c r="G46" s="5" t="n">
        <v>46286</v>
      </c>
      <c r="H46" s="5" t="n">
        <v>46286</v>
      </c>
      <c r="I46" s="6" t="n">
        <v>8</v>
      </c>
      <c r="J46" s="13" t="inlineStr">
        <is>
          <t>Unit test kiểm tra công thức toán học và số liệu bảng lương.</t>
        </is>
      </c>
      <c r="K46" s="13" t="n">
        <v>8</v>
      </c>
      <c r="L46" s="14" t="inlineStr">
        <is>
          <t>Do</t>
        </is>
      </c>
      <c r="M46" s="14" t="inlineStr">
        <is>
          <t>Coding</t>
        </is>
      </c>
      <c r="N46" s="14" t="inlineStr">
        <is>
          <t>Critical</t>
        </is>
      </c>
    </row>
    <row r="47" ht="36.75" customHeight="1">
      <c r="B47" s="9" t="inlineStr">
        <is>
          <t>EPIC-5. QC / UAT / Deploy Staging / Sprint Ceremonies</t>
        </is>
      </c>
      <c r="F47" s="10" t="n"/>
      <c r="G47" s="11">
        <f>MIN(G48:G68)</f>
        <v/>
      </c>
      <c r="H47" s="11">
        <f>MAX(H48:H68)</f>
        <v/>
      </c>
      <c r="I47" s="12">
        <f>SUM(I48:I68)</f>
        <v/>
      </c>
      <c r="J47" s="10" t="n"/>
    </row>
    <row r="48" ht="30" customHeight="1">
      <c r="B48" s="13" t="inlineStr">
        <is>
          <t>QC Onboarding &amp; Test Planning</t>
        </is>
      </c>
      <c r="C48" s="13" t="inlineStr">
        <is>
          <t>Demo &amp; Clear nghiệp vụ Sprint 2 cho đội ngũ QC</t>
        </is>
      </c>
      <c r="D48" s="13" t="inlineStr">
        <is>
          <t>Onboarding, demo nghiệp vụ và viết Testcase cho 19 hạng mục.</t>
        </is>
      </c>
      <c r="E48" s="14" t="inlineStr">
        <is>
          <t>NgocDH18</t>
        </is>
      </c>
      <c r="F48" s="15" t="n">
        <v>0</v>
      </c>
      <c r="G48" s="5" t="n">
        <v>46281</v>
      </c>
      <c r="H48" s="5" t="n">
        <v>46281</v>
      </c>
      <c r="I48" s="6" t="n">
        <v>8</v>
      </c>
      <c r="J48" s="13" t="inlineStr">
        <is>
          <t>BA giải đáp luồng bóc tách hóa đơn, phân bổ và phân tách.</t>
        </is>
      </c>
      <c r="K48" s="13" t="n">
        <v>7</v>
      </c>
      <c r="L48" s="14" t="inlineStr">
        <is>
          <t>Do</t>
        </is>
      </c>
      <c r="M48" s="14" t="inlineStr">
        <is>
          <t>Requirement &amp; Design</t>
        </is>
      </c>
      <c r="N48" s="14" t="inlineStr">
        <is>
          <t>High</t>
        </is>
      </c>
    </row>
    <row r="49" ht="30" customHeight="1">
      <c r="B49" s="13" t="inlineStr">
        <is>
          <t>QC Onboarding &amp; Test Planning</t>
        </is>
      </c>
      <c r="C49" s="13" t="inlineStr">
        <is>
          <t>Nghiên cứu PRD &amp; Viết Testcase nhóm Kế toán AF và Tích hợp Inside (Phần 1)</t>
        </is>
      </c>
      <c r="D49" s="13" t="inlineStr">
        <is>
          <t>Onboarding, demo nghiệp vụ và viết Testcase cho 19 hạng mục.</t>
        </is>
      </c>
      <c r="E49" s="14" t="inlineStr">
        <is>
          <t>HaTTT65</t>
        </is>
      </c>
      <c r="F49" s="15" t="n">
        <v>0</v>
      </c>
      <c r="G49" s="5" t="n">
        <v>46288</v>
      </c>
      <c r="H49" s="5" t="n">
        <v>46288</v>
      </c>
      <c r="I49" s="6" t="n">
        <v>8</v>
      </c>
      <c r="J49" s="13" t="inlineStr">
        <is>
          <t>Testcase phân bổ AF, giá vốn, job khóa kỳ, sync Inside, FOXSG.</t>
        </is>
      </c>
      <c r="K49" s="13" t="n">
        <v>7</v>
      </c>
      <c r="L49" s="14" t="inlineStr">
        <is>
          <t>Do</t>
        </is>
      </c>
      <c r="M49" s="14" t="inlineStr">
        <is>
          <t>Testing</t>
        </is>
      </c>
      <c r="N49" s="14" t="inlineStr">
        <is>
          <t>High</t>
        </is>
      </c>
    </row>
    <row r="50" ht="30" customHeight="1">
      <c r="B50" s="13" t="inlineStr">
        <is>
          <t>QC Onboarding &amp; Test Planning</t>
        </is>
      </c>
      <c r="C50" s="13" t="inlineStr">
        <is>
          <t>Nghiên cứu PRD &amp; Viết Testcase nhóm TDV và Core Bảng lương (Phần 1)</t>
        </is>
      </c>
      <c r="D50" s="13" t="inlineStr">
        <is>
          <t>Onboarding, demo nghiệp vụ và viết Testcase cho 19 hạng mục.</t>
        </is>
      </c>
      <c r="E50" s="14" t="inlineStr">
        <is>
          <t>AnhDC4</t>
        </is>
      </c>
      <c r="F50" s="15" t="n">
        <v>0</v>
      </c>
      <c r="G50" s="5" t="n">
        <v>46288</v>
      </c>
      <c r="H50" s="5" t="n">
        <v>46288</v>
      </c>
      <c r="I50" s="6" t="n">
        <v>8</v>
      </c>
      <c r="J50" s="13" t="inlineStr">
        <is>
          <t>Testcase phân tách TDV, import excel, core lương, export.</t>
        </is>
      </c>
      <c r="K50" s="13" t="n">
        <v>7</v>
      </c>
      <c r="L50" s="14" t="inlineStr">
        <is>
          <t>Do</t>
        </is>
      </c>
      <c r="M50" s="14" t="inlineStr">
        <is>
          <t>Testing</t>
        </is>
      </c>
      <c r="N50" s="14" t="inlineStr">
        <is>
          <t>High</t>
        </is>
      </c>
    </row>
    <row r="51" ht="30" customHeight="1">
      <c r="B51" s="13" t="inlineStr">
        <is>
          <t>QC Onboarding &amp; Test Planning</t>
        </is>
      </c>
      <c r="C51" s="13" t="inlineStr">
        <is>
          <t>Review chéo Testcase &amp; Tối ưu kịch bản Test tích hợp hệ thống</t>
        </is>
      </c>
      <c r="D51" s="13" t="inlineStr">
        <is>
          <t>Onboarding, demo nghiệp vụ và viết Testcase cho 19 hạng mục.</t>
        </is>
      </c>
      <c r="E51" s="14" t="inlineStr">
        <is>
          <t>HaTTT65</t>
        </is>
      </c>
      <c r="F51" s="15" t="n">
        <v>0</v>
      </c>
      <c r="G51" s="5" t="n">
        <v>46289</v>
      </c>
      <c r="H51" s="5" t="n">
        <v>46289</v>
      </c>
      <c r="I51" s="6" t="n">
        <v>8</v>
      </c>
      <c r="J51" s="13" t="inlineStr">
        <is>
          <t>Review chéo giữa 2 QC đảm bảo bao phủ edge cases.</t>
        </is>
      </c>
      <c r="K51" s="13" t="n">
        <v>7</v>
      </c>
      <c r="L51" s="14" t="inlineStr">
        <is>
          <t>Review</t>
        </is>
      </c>
      <c r="M51" s="14" t="inlineStr">
        <is>
          <t>Testing</t>
        </is>
      </c>
      <c r="N51" s="14" t="inlineStr">
        <is>
          <t>High</t>
        </is>
      </c>
    </row>
    <row r="52" ht="30" customHeight="1">
      <c r="B52" s="13" t="inlineStr">
        <is>
          <t>QC Onboarding &amp; Test Planning</t>
        </is>
      </c>
      <c r="C52" s="13" t="inlineStr">
        <is>
          <t>Thiết lập môi trường Automation &amp; Kịch bản Test hiệu năng API</t>
        </is>
      </c>
      <c r="D52" s="13" t="inlineStr">
        <is>
          <t>Onboarding, demo nghiệp vụ và viết Testcase cho 19 hạng mục.</t>
        </is>
      </c>
      <c r="E52" s="14" t="inlineStr">
        <is>
          <t>AnhDC4</t>
        </is>
      </c>
      <c r="F52" s="15" t="n">
        <v>0</v>
      </c>
      <c r="G52" s="5" t="n">
        <v>46289</v>
      </c>
      <c r="H52" s="5" t="n">
        <v>46289</v>
      </c>
      <c r="I52" s="6" t="n">
        <v>8</v>
      </c>
      <c r="J52" s="13" t="inlineStr">
        <is>
          <t>Script test API Inside sync và import excel hàng loạt.</t>
        </is>
      </c>
      <c r="K52" s="13" t="n">
        <v>7</v>
      </c>
      <c r="L52" s="14" t="inlineStr">
        <is>
          <t>Do</t>
        </is>
      </c>
      <c r="M52" s="14" t="inlineStr">
        <is>
          <t>Testing</t>
        </is>
      </c>
      <c r="N52" s="14" t="inlineStr">
        <is>
          <t>High</t>
        </is>
      </c>
    </row>
    <row r="53" ht="30" customHeight="1">
      <c r="B53" s="13" t="inlineStr">
        <is>
          <t>Deployment Staging &amp; Testing Execution</t>
        </is>
      </c>
      <c r="C53" s="13" t="inlineStr">
        <is>
          <t>Deploy bản build hoàn thiện Sprint 2 lên môi trường Staging</t>
        </is>
      </c>
      <c r="D53" s="13" t="inlineStr">
        <is>
          <t>Deploy Staging, thực hiện QC Testing và xử lý bug.</t>
        </is>
      </c>
      <c r="E53" s="14" t="inlineStr">
        <is>
          <t>SonNH103</t>
        </is>
      </c>
      <c r="F53" s="15" t="n">
        <v>0</v>
      </c>
      <c r="G53" s="5" t="n">
        <v>46287</v>
      </c>
      <c r="H53" s="5" t="n">
        <v>46287</v>
      </c>
      <c r="I53" s="6" t="n">
        <v>8</v>
      </c>
      <c r="J53" s="13" t="inlineStr">
        <is>
          <t>Migration DB Staging, check kết nối Inside trước test.</t>
        </is>
      </c>
      <c r="K53" s="13" t="n">
        <v>7</v>
      </c>
      <c r="L53" s="14" t="inlineStr">
        <is>
          <t>Do</t>
        </is>
      </c>
      <c r="M53" s="14" t="inlineStr">
        <is>
          <t>Deployment</t>
        </is>
      </c>
      <c r="N53" s="14" t="inlineStr">
        <is>
          <t>Critical</t>
        </is>
      </c>
    </row>
    <row r="54" ht="30" customHeight="1">
      <c r="B54" s="13" t="inlineStr">
        <is>
          <t>Deployment Staging &amp; Testing Execution</t>
        </is>
      </c>
      <c r="C54" s="13" t="inlineStr">
        <is>
          <t>Hỗ trợ nghiệp vụ cho đội ngũ QC execute</t>
        </is>
      </c>
      <c r="D54" s="13" t="inlineStr">
        <is>
          <t>Deploy Staging, thực hiện QC Testing và xử lý bug.</t>
        </is>
      </c>
      <c r="E54" s="14" t="inlineStr">
        <is>
          <t>NgocDH18</t>
        </is>
      </c>
      <c r="F54" s="15" t="n">
        <v>0</v>
      </c>
      <c r="G54" s="5" t="n">
        <v>46287</v>
      </c>
      <c r="H54" s="5" t="n">
        <v>46288</v>
      </c>
      <c r="I54" s="6" t="n">
        <v>16</v>
      </c>
      <c r="J54" s="13" t="inlineStr">
        <is>
          <t>BA standby giải đáp nghiệp vụ và verify bug report.</t>
        </is>
      </c>
      <c r="K54" s="13" t="n">
        <v>7</v>
      </c>
      <c r="L54" s="14" t="inlineStr">
        <is>
          <t>Do</t>
        </is>
      </c>
      <c r="M54" s="14" t="inlineStr">
        <is>
          <t>Requirement &amp; Design</t>
        </is>
      </c>
      <c r="N54" s="14" t="inlineStr">
        <is>
          <t>High</t>
        </is>
      </c>
    </row>
    <row r="55" ht="30" customHeight="1">
      <c r="B55" s="13" t="inlineStr">
        <is>
          <t>Deployment Staging &amp; Testing Execution</t>
        </is>
      </c>
      <c r="C55" s="13" t="inlineStr">
        <is>
          <t>Thực hiện QC Testing Round 1 nhóm Kế toán AF &amp; Tích hợp Inside</t>
        </is>
      </c>
      <c r="D55" s="13" t="inlineStr">
        <is>
          <t>Deploy Staging, thực hiện QC Testing và xử lý bug.</t>
        </is>
      </c>
      <c r="E55" s="14" t="inlineStr">
        <is>
          <t>HaTTT65</t>
        </is>
      </c>
      <c r="F55" s="15" t="n">
        <v>0</v>
      </c>
      <c r="G55" s="5" t="n">
        <v>46293</v>
      </c>
      <c r="H55" s="5" t="n">
        <v>46295</v>
      </c>
      <c r="I55" s="6" t="n">
        <v>24</v>
      </c>
      <c r="J55" s="13" t="inlineStr">
        <is>
          <t>Kiểm thử phân bổ AF, job khóa kỳ, sync Inside và FOXSG.</t>
        </is>
      </c>
      <c r="K55" s="13" t="n">
        <v>7</v>
      </c>
      <c r="L55" s="14" t="inlineStr">
        <is>
          <t>Do</t>
        </is>
      </c>
      <c r="M55" s="14" t="inlineStr">
        <is>
          <t>Testing</t>
        </is>
      </c>
      <c r="N55" s="14" t="inlineStr">
        <is>
          <t>Critical</t>
        </is>
      </c>
    </row>
    <row r="56" ht="30" customHeight="1">
      <c r="B56" s="13" t="inlineStr">
        <is>
          <t>Deployment Staging &amp; Testing Execution</t>
        </is>
      </c>
      <c r="C56" s="13" t="inlineStr">
        <is>
          <t>Thực hiện QC Testing Round 1 nhóm TDV &amp; Core Bảng lương</t>
        </is>
      </c>
      <c r="D56" s="13" t="inlineStr">
        <is>
          <t>Deploy Staging, thực hiện QC Testing và xử lý bug.</t>
        </is>
      </c>
      <c r="E56" s="14" t="inlineStr">
        <is>
          <t>AnhDC4</t>
        </is>
      </c>
      <c r="F56" s="15" t="n">
        <v>0</v>
      </c>
      <c r="G56" s="5" t="n">
        <v>46293</v>
      </c>
      <c r="H56" s="5" t="n">
        <v>46295</v>
      </c>
      <c r="I56" s="6" t="n">
        <v>24</v>
      </c>
      <c r="J56" s="13" t="inlineStr">
        <is>
          <t>Kiểm thử phân tách TDV, import excel, tính và xuất lương.</t>
        </is>
      </c>
      <c r="K56" s="13" t="n">
        <v>8</v>
      </c>
      <c r="L56" s="14" t="inlineStr">
        <is>
          <t>Do</t>
        </is>
      </c>
      <c r="M56" s="14" t="inlineStr">
        <is>
          <t>Testing</t>
        </is>
      </c>
      <c r="N56" s="14" t="inlineStr">
        <is>
          <t>Critical</t>
        </is>
      </c>
    </row>
    <row r="57" ht="30" customHeight="1">
      <c r="B57" s="13" t="inlineStr">
        <is>
          <t>Deployment Staging &amp; Testing Execution</t>
        </is>
      </c>
      <c r="C57" s="13" t="inlineStr">
        <is>
          <t>Fix bug phát sinh từ QC Testing Round 1 (Phần 1)</t>
        </is>
      </c>
      <c r="D57" s="13" t="inlineStr">
        <is>
          <t>Deploy Staging, thực hiện QC Testing và xử lý bug.</t>
        </is>
      </c>
      <c r="E57" s="14" t="inlineStr">
        <is>
          <t>SonNH103</t>
        </is>
      </c>
      <c r="F57" s="15" t="n">
        <v>0</v>
      </c>
      <c r="G57" s="5" t="n">
        <v>46288</v>
      </c>
      <c r="H57" s="5" t="n">
        <v>46290</v>
      </c>
      <c r="I57" s="6" t="n">
        <v>24</v>
      </c>
      <c r="J57" s="13" t="inlineStr">
        <is>
          <t>Fix bug Critical/High phân hệ Kế toán AF và Inside.</t>
        </is>
      </c>
      <c r="K57" s="13" t="n">
        <v>7</v>
      </c>
      <c r="L57" s="14" t="inlineStr">
        <is>
          <t>Fix/Rework</t>
        </is>
      </c>
      <c r="M57" s="14" t="inlineStr">
        <is>
          <t>Coding</t>
        </is>
      </c>
      <c r="N57" s="14" t="inlineStr">
        <is>
          <t>Critical</t>
        </is>
      </c>
    </row>
    <row r="58" ht="30" customHeight="1">
      <c r="B58" s="13" t="inlineStr">
        <is>
          <t>Deployment Staging &amp; Testing Execution</t>
        </is>
      </c>
      <c r="C58" s="13" t="inlineStr">
        <is>
          <t>Fix bug phát sinh từ QC Testing Round 1 (Phần 2)</t>
        </is>
      </c>
      <c r="D58" s="13" t="inlineStr">
        <is>
          <t>Deploy Staging, thực hiện QC Testing và xử lý bug.</t>
        </is>
      </c>
      <c r="E58" s="14" t="inlineStr">
        <is>
          <t>SonNH103</t>
        </is>
      </c>
      <c r="F58" s="15" t="n">
        <v>0</v>
      </c>
      <c r="G58" s="5" t="n">
        <v>46293</v>
      </c>
      <c r="H58" s="5" t="n">
        <v>46295</v>
      </c>
      <c r="I58" s="6" t="n">
        <v>24</v>
      </c>
      <c r="J58" s="13" t="inlineStr">
        <is>
          <t>Fix bug phân hệ TDV, Core lương và export Excel.</t>
        </is>
      </c>
      <c r="K58" s="13" t="n">
        <v>7</v>
      </c>
      <c r="L58" s="14" t="inlineStr">
        <is>
          <t>Fix/Rework</t>
        </is>
      </c>
      <c r="M58" s="14" t="inlineStr">
        <is>
          <t>Coding</t>
        </is>
      </c>
      <c r="N58" s="14" t="inlineStr">
        <is>
          <t>Critical</t>
        </is>
      </c>
    </row>
    <row r="59" ht="30" customHeight="1">
      <c r="B59" s="13" t="inlineStr">
        <is>
          <t>Deployment Staging &amp; Testing Execution</t>
        </is>
      </c>
      <c r="C59" s="13" t="inlineStr">
        <is>
          <t>Recheck bug đã fix &amp; Regression test phân hệ Kế toán và Tích hợp</t>
        </is>
      </c>
      <c r="D59" s="13" t="inlineStr">
        <is>
          <t>Deploy Staging, thực hiện QC Testing và xử lý bug.</t>
        </is>
      </c>
      <c r="E59" s="14" t="inlineStr">
        <is>
          <t>HaTTT65</t>
        </is>
      </c>
      <c r="F59" s="15" t="n">
        <v>0</v>
      </c>
      <c r="G59" s="5" t="n">
        <v>46296</v>
      </c>
      <c r="H59" s="5" t="n">
        <v>46297</v>
      </c>
      <c r="I59" s="6" t="n">
        <v>16</v>
      </c>
      <c r="J59" s="13" t="inlineStr">
        <is>
          <t>Recheck bug đã fix, kiểm tra không lỗi chéo màn hình cũ.</t>
        </is>
      </c>
      <c r="K59" s="13" t="n">
        <v>7</v>
      </c>
      <c r="L59" s="14" t="inlineStr">
        <is>
          <t>Do</t>
        </is>
      </c>
      <c r="M59" s="14" t="inlineStr">
        <is>
          <t>Testing</t>
        </is>
      </c>
      <c r="N59" s="14" t="inlineStr">
        <is>
          <t>High</t>
        </is>
      </c>
    </row>
    <row r="60" ht="30" customHeight="1">
      <c r="B60" s="13" t="inlineStr">
        <is>
          <t>Deployment Staging &amp; Testing Execution</t>
        </is>
      </c>
      <c r="C60" s="13" t="inlineStr">
        <is>
          <t>Recheck bug đã fix &amp; Regression test phân hệ TDV và Bảng lương</t>
        </is>
      </c>
      <c r="D60" s="13" t="inlineStr">
        <is>
          <t>Deploy Staging, thực hiện QC Testing và xử lý bug.</t>
        </is>
      </c>
      <c r="E60" s="14" t="inlineStr">
        <is>
          <t>AnhDC4</t>
        </is>
      </c>
      <c r="F60" s="15" t="n">
        <v>0</v>
      </c>
      <c r="G60" s="5" t="n">
        <v>46296</v>
      </c>
      <c r="H60" s="5" t="n">
        <v>46297</v>
      </c>
      <c r="I60" s="6" t="n">
        <v>16</v>
      </c>
      <c r="J60" s="13" t="inlineStr">
        <is>
          <t>Recheck bug Core lương, kiểm tra đối soát số liệu export.</t>
        </is>
      </c>
      <c r="K60" s="13" t="n">
        <v>7</v>
      </c>
      <c r="L60" s="14" t="inlineStr">
        <is>
          <t>Do</t>
        </is>
      </c>
      <c r="M60" s="14" t="inlineStr">
        <is>
          <t>Testing</t>
        </is>
      </c>
      <c r="N60" s="14" t="inlineStr">
        <is>
          <t>High</t>
        </is>
      </c>
    </row>
    <row r="61" ht="30" customHeight="1">
      <c r="B61" s="13" t="inlineStr">
        <is>
          <t>UAT &amp; User Documentation</t>
        </is>
      </c>
      <c r="C61" s="13" t="inlineStr">
        <is>
          <t>Viết UAT, User Guide Scenario cho toàn bộ tính năng</t>
        </is>
      </c>
      <c r="D61" s="13" t="inlineStr">
        <is>
          <t>Viết kịch bản UAT, User Guide và hỗ trợ người dùng nghiệm thu.</t>
        </is>
      </c>
      <c r="E61" s="14" t="inlineStr">
        <is>
          <t>NgocDH18</t>
        </is>
      </c>
      <c r="F61" s="15" t="n">
        <v>0</v>
      </c>
      <c r="G61" s="5" t="n">
        <v>46280</v>
      </c>
      <c r="H61" s="5" t="n">
        <v>46280</v>
      </c>
      <c r="I61" s="6" t="n">
        <v>16</v>
      </c>
      <c r="J61" s="13" t="inlineStr">
        <is>
          <t>Kịch bản nghiệm thu chi tiết cho Kế toán AF và TDV.</t>
        </is>
      </c>
      <c r="K61" s="13" t="n">
        <v>7</v>
      </c>
      <c r="L61" s="14" t="inlineStr">
        <is>
          <t>Do</t>
        </is>
      </c>
      <c r="M61" s="14" t="inlineStr">
        <is>
          <t>Requirement &amp; Design</t>
        </is>
      </c>
      <c r="N61" s="14" t="inlineStr">
        <is>
          <t>High</t>
        </is>
      </c>
    </row>
    <row r="62" ht="30" customHeight="1">
      <c r="B62" s="13" t="inlineStr">
        <is>
          <t>UAT &amp; User Documentation</t>
        </is>
      </c>
      <c r="C62" s="13" t="inlineStr">
        <is>
          <t>Viết User Guide hướng dẫn sử dụng tính năng mới</t>
        </is>
      </c>
      <c r="D62" s="13" t="inlineStr">
        <is>
          <t>Viết kịch bản UAT, User Guide và hỗ trợ người dùng nghiệm thu.</t>
        </is>
      </c>
      <c r="E62" s="14" t="inlineStr">
        <is>
          <t>NgocDH18</t>
        </is>
      </c>
      <c r="F62" s="15" t="n">
        <v>0</v>
      </c>
      <c r="G62" s="5" t="n">
        <v>46273</v>
      </c>
      <c r="H62" s="5" t="n">
        <v>46274</v>
      </c>
      <c r="I62" s="6" t="n">
        <v>16</v>
      </c>
      <c r="J62" s="13" t="inlineStr">
        <is>
          <t>Tài liệu hướng dẫn kèm hình ảnh minh họa tính năng mới.</t>
        </is>
      </c>
      <c r="K62" s="13" t="n">
        <v>6</v>
      </c>
      <c r="L62" s="14" t="inlineStr">
        <is>
          <t>Do</t>
        </is>
      </c>
      <c r="M62" s="14" t="inlineStr">
        <is>
          <t>Requirement &amp; Design</t>
        </is>
      </c>
      <c r="N62" s="14" t="inlineStr">
        <is>
          <t>Medium</t>
        </is>
      </c>
    </row>
    <row r="63" ht="30" customHeight="1">
      <c r="B63" s="13" t="inlineStr">
        <is>
          <t>UAT &amp; User Documentation</t>
        </is>
      </c>
      <c r="C63" s="13" t="inlineStr">
        <is>
          <t>Hướng dẫn và hỗ trợ người dùng thực hiện UAT</t>
        </is>
      </c>
      <c r="D63" s="13" t="inlineStr">
        <is>
          <t>Viết kịch bản UAT, User Guide và hỗ trợ người dùng nghiệm thu.</t>
        </is>
      </c>
      <c r="E63" s="14" t="inlineStr">
        <is>
          <t>NgocDH18</t>
        </is>
      </c>
      <c r="F63" s="15" t="n">
        <v>0</v>
      </c>
      <c r="G63" s="5" t="n">
        <v>46294</v>
      </c>
      <c r="H63" s="5" t="n">
        <v>46295</v>
      </c>
      <c r="I63" s="6" t="n">
        <v>16</v>
      </c>
      <c r="J63" s="13" t="inlineStr">
        <is>
          <t>Hỗ trợ Kế toán và TDV thao tác trực tiếp trên Staging.</t>
        </is>
      </c>
      <c r="K63" s="13" t="n">
        <v>7</v>
      </c>
      <c r="L63" s="14" t="inlineStr">
        <is>
          <t>Do</t>
        </is>
      </c>
      <c r="M63" s="14" t="inlineStr">
        <is>
          <t>Requirement &amp; Design</t>
        </is>
      </c>
      <c r="N63" s="14" t="inlineStr">
        <is>
          <t>Critical</t>
        </is>
      </c>
    </row>
    <row r="64" ht="30" customHeight="1">
      <c r="B64" s="13" t="inlineStr">
        <is>
          <t>UAT &amp; User Documentation</t>
        </is>
      </c>
      <c r="C64" s="13" t="inlineStr">
        <is>
          <t>Fix bug và hỗ trợ kỹ thuật trong quá trình UAT</t>
        </is>
      </c>
      <c r="D64" s="13" t="inlineStr">
        <is>
          <t>Viết kịch bản UAT, User Guide và hỗ trợ người dùng nghiệm thu.</t>
        </is>
      </c>
      <c r="E64" s="14" t="inlineStr">
        <is>
          <t>SonNH103</t>
        </is>
      </c>
      <c r="F64" s="15" t="n">
        <v>0</v>
      </c>
      <c r="G64" s="5" t="n">
        <v>46296</v>
      </c>
      <c r="H64" s="5" t="n">
        <v>46297</v>
      </c>
      <c r="I64" s="6" t="n">
        <v>16</v>
      </c>
      <c r="J64" s="13" t="inlineStr">
        <is>
          <t>Hotfix ngay các vấn đề phát sinh trong buổi nghiệm thu.</t>
        </is>
      </c>
      <c r="K64" s="13" t="n">
        <v>7</v>
      </c>
      <c r="L64" s="14" t="inlineStr">
        <is>
          <t>Fix/Rework</t>
        </is>
      </c>
      <c r="M64" s="14" t="inlineStr">
        <is>
          <t>Coding</t>
        </is>
      </c>
      <c r="N64" s="14" t="inlineStr">
        <is>
          <t>Critical</t>
        </is>
      </c>
    </row>
    <row r="65" ht="30" customHeight="1">
      <c r="B65" s="13" t="inlineStr">
        <is>
          <t>UAT &amp; User Documentation</t>
        </is>
      </c>
      <c r="C65" s="13" t="inlineStr">
        <is>
          <t>Tổng hợp kết quả UAT và lấy UAT Sign-off chính thức</t>
        </is>
      </c>
      <c r="D65" s="13" t="inlineStr">
        <is>
          <t>Viết kịch bản UAT, User Guide và hỗ trợ người dùng nghiệm thu.</t>
        </is>
      </c>
      <c r="E65" s="14" t="inlineStr">
        <is>
          <t>NgocDH18</t>
        </is>
      </c>
      <c r="F65" s="15" t="n">
        <v>0</v>
      </c>
      <c r="G65" s="5" t="n">
        <v>46301</v>
      </c>
      <c r="H65" s="5" t="n">
        <v>46302</v>
      </c>
      <c r="I65" s="6" t="n">
        <v>16</v>
      </c>
      <c r="J65" s="13" t="inlineStr">
        <is>
          <t>Ký biên bản nghiệm thu UAT với Kế toán và TDV.</t>
        </is>
      </c>
      <c r="K65" s="13" t="n">
        <v>7</v>
      </c>
      <c r="L65" s="14" t="inlineStr">
        <is>
          <t>Do</t>
        </is>
      </c>
      <c r="M65" s="14" t="inlineStr">
        <is>
          <t>Requirement &amp; Design</t>
        </is>
      </c>
      <c r="N65" s="14" t="inlineStr">
        <is>
          <t>Critical</t>
        </is>
      </c>
    </row>
    <row r="66" ht="30" customHeight="1">
      <c r="B66" s="13" t="inlineStr">
        <is>
          <t>Sprint Ceremonies &amp; Release Management</t>
        </is>
      </c>
      <c r="C66" s="13" t="inlineStr">
        <is>
          <t>Tổ chức Sprint Review &amp; Báo cáo kết quả Sprint 2 cho Stakeholders</t>
        </is>
      </c>
      <c r="D66" s="13" t="inlineStr">
        <is>
          <t>Đóng gói release Staging, tổ chức Sprint Review và Retrospective.</t>
        </is>
      </c>
      <c r="E66" s="14" t="inlineStr">
        <is>
          <t>DuyVM4</t>
        </is>
      </c>
      <c r="F66" s="15" t="n">
        <v>0</v>
      </c>
      <c r="G66" s="5" t="n">
        <v>46293</v>
      </c>
      <c r="H66" s="5" t="n">
        <v>46294</v>
      </c>
      <c r="I66" s="6" t="n">
        <v>24</v>
      </c>
      <c r="J66" s="13" t="inlineStr">
        <is>
          <t>Demo tính năng hoàn thành, báo cáo chỉ số tiến độ/chất lượng.</t>
        </is>
      </c>
      <c r="K66" s="13" t="n">
        <v>7</v>
      </c>
      <c r="L66" s="14" t="inlineStr">
        <is>
          <t>Do</t>
        </is>
      </c>
      <c r="M66" s="14" t="inlineStr">
        <is>
          <t>Project Management</t>
        </is>
      </c>
      <c r="N66" s="14" t="inlineStr">
        <is>
          <t>High</t>
        </is>
      </c>
    </row>
    <row r="67" ht="30" customHeight="1">
      <c r="B67" s="13" t="inlineStr">
        <is>
          <t>Sprint Ceremonies &amp; Release Management</t>
        </is>
      </c>
      <c r="C67" s="13" t="inlineStr">
        <is>
          <t>Đóng gói mã nguồn bản build Staging &amp; Bàn giao tài liệu kỹ thuật</t>
        </is>
      </c>
      <c r="D67" s="13" t="inlineStr">
        <is>
          <t>Đóng gói release Staging, tổ chức Sprint Review và Retrospective.</t>
        </is>
      </c>
      <c r="E67" s="14" t="inlineStr">
        <is>
          <t>SonNH103</t>
        </is>
      </c>
      <c r="F67" s="15" t="n">
        <v>0</v>
      </c>
      <c r="G67" s="5" t="n">
        <v>46300</v>
      </c>
      <c r="H67" s="5" t="n">
        <v>46302</v>
      </c>
      <c r="I67" s="6" t="n">
        <v>24</v>
      </c>
      <c r="J67" s="13" t="inlineStr">
        <is>
          <t>Đóng gói release package, tag git v3.1-sprint2 trên Staging.</t>
        </is>
      </c>
      <c r="K67" s="13" t="n">
        <v>6</v>
      </c>
      <c r="L67" s="14" t="inlineStr">
        <is>
          <t>Do</t>
        </is>
      </c>
      <c r="M67" s="14" t="inlineStr">
        <is>
          <t>Deployment</t>
        </is>
      </c>
      <c r="N67" s="14" t="inlineStr">
        <is>
          <t>High</t>
        </is>
      </c>
    </row>
    <row r="68" ht="30" customHeight="1">
      <c r="B68" s="13" t="inlineStr">
        <is>
          <t>Sprint Ceremonies &amp; Release Management</t>
        </is>
      </c>
      <c r="C68" s="13" t="inlineStr">
        <is>
          <t>Tổ chức Sprint Retrospective &amp; Hoàn tất đóng Sprint 2</t>
        </is>
      </c>
      <c r="D68" s="13" t="inlineStr">
        <is>
          <t>Đóng gói release Staging, tổ chức Sprint Review và Retrospective.</t>
        </is>
      </c>
      <c r="E68" s="14" t="inlineStr">
        <is>
          <t>DuyVM4</t>
        </is>
      </c>
      <c r="F68" s="15" t="n">
        <v>0</v>
      </c>
      <c r="G68" s="5" t="n">
        <v>46301</v>
      </c>
      <c r="H68" s="5" t="n">
        <v>46302</v>
      </c>
      <c r="I68" s="6" t="n">
        <v>16</v>
      </c>
      <c r="J68" s="13" t="inlineStr">
        <is>
          <t>Họp rút kinh nghiệm, ghi nhận bài học và đóng Sprint trên Jira.</t>
        </is>
      </c>
      <c r="K68" s="13" t="n">
        <v>6</v>
      </c>
      <c r="L68" s="14" t="inlineStr">
        <is>
          <t>Do</t>
        </is>
      </c>
      <c r="M68" s="14" t="inlineStr">
        <is>
          <t>Project Management</t>
        </is>
      </c>
      <c r="N68" s="14" t="inlineStr">
        <is>
          <t>High</t>
        </is>
      </c>
    </row>
    <row r="69" ht="36.75" customHeight="1"/>
  </sheetData>
  <mergeCells count="11">
    <mergeCell ref="B9:E9"/>
    <mergeCell ref="B41:E41"/>
    <mergeCell ref="C3:F3"/>
    <mergeCell ref="C4:F4"/>
    <mergeCell ref="B29:E29"/>
    <mergeCell ref="B1:J1"/>
    <mergeCell ref="B47:E47"/>
    <mergeCell ref="B7:N7"/>
    <mergeCell ref="C5:F5"/>
    <mergeCell ref="B22:E22"/>
    <mergeCell ref="B34:E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2026-08-28T02:57:52Z</dcterms:created>
  <dcterms:modified xsi:type="dcterms:W3CDTF">2026-08-28T02:57:52Z</dcterms:modified>
</cp:coreProperties>
</file>